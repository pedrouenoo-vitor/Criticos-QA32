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oliveira\Desktop\"/>
    </mc:Choice>
  </mc:AlternateContent>
  <xr:revisionPtr revIDLastSave="0" documentId="13_ncr:1_{C7E80A38-F971-42C1-B812-D64D9543410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INALIZADOR" sheetId="3" r:id="rId1"/>
    <sheet name="SINALIZADOR CRITICO" sheetId="1" r:id="rId2"/>
    <sheet name="QA32" sheetId="2" r:id="rId3"/>
  </sheets>
  <definedNames>
    <definedName name="_xlnm._FilterDatabase" localSheetId="1" hidden="1">'SINALIZADOR CRITICO'!$B$1:$AA$100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N10" i="1" s="1"/>
  <c r="K4" i="1"/>
  <c r="N4" i="1" s="1"/>
  <c r="K6" i="1"/>
  <c r="N6" i="1" s="1"/>
  <c r="K5" i="1"/>
  <c r="N5" i="1" s="1"/>
  <c r="K7" i="1"/>
  <c r="N7" i="1" s="1"/>
  <c r="K8" i="1"/>
  <c r="N8" i="1" s="1"/>
  <c r="K3" i="1"/>
  <c r="N3" i="1" s="1"/>
  <c r="K2" i="1"/>
  <c r="N2" i="1" s="1"/>
  <c r="K11" i="1"/>
  <c r="N11" i="1" s="1"/>
  <c r="K12" i="1"/>
  <c r="N12" i="1" s="1"/>
  <c r="K13" i="1"/>
  <c r="N13" i="1" s="1"/>
  <c r="K14" i="1"/>
  <c r="N14" i="1" s="1"/>
  <c r="K16" i="1"/>
  <c r="N16" i="1" s="1"/>
  <c r="K17" i="1"/>
  <c r="N17" i="1" s="1"/>
  <c r="K15" i="1"/>
  <c r="N15" i="1" s="1"/>
  <c r="K18" i="1"/>
  <c r="N18" i="1" s="1"/>
  <c r="K19" i="1"/>
  <c r="N19" i="1" s="1"/>
  <c r="K20" i="1"/>
  <c r="N20" i="1" s="1"/>
  <c r="K21" i="1"/>
  <c r="N21" i="1" s="1"/>
  <c r="K22" i="1"/>
  <c r="N22" i="1" s="1"/>
  <c r="K23" i="1"/>
  <c r="N23" i="1" s="1"/>
  <c r="K24" i="1"/>
  <c r="N24" i="1" s="1"/>
  <c r="K25" i="1"/>
  <c r="N25" i="1" s="1"/>
  <c r="K26" i="1"/>
  <c r="N26" i="1" s="1"/>
  <c r="K29" i="1"/>
  <c r="N29" i="1" s="1"/>
  <c r="K27" i="1"/>
  <c r="N27" i="1" s="1"/>
  <c r="K28" i="1"/>
  <c r="N28" i="1" s="1"/>
  <c r="K31" i="1"/>
  <c r="N31" i="1" s="1"/>
  <c r="K30" i="1"/>
  <c r="N30" i="1" s="1"/>
  <c r="K32" i="1"/>
  <c r="N32" i="1" s="1"/>
  <c r="K33" i="1"/>
  <c r="N33" i="1" s="1"/>
  <c r="K34" i="1"/>
  <c r="N34" i="1" s="1"/>
  <c r="K35" i="1"/>
  <c r="N35" i="1" s="1"/>
  <c r="K36" i="1"/>
  <c r="N36" i="1" s="1"/>
  <c r="K37" i="1"/>
  <c r="N37" i="1" s="1"/>
  <c r="K39" i="1"/>
  <c r="N39" i="1" s="1"/>
  <c r="K38" i="1"/>
  <c r="N38" i="1" s="1"/>
  <c r="K40" i="1"/>
  <c r="N40" i="1" s="1"/>
  <c r="K41" i="1"/>
  <c r="N41" i="1" s="1"/>
  <c r="K43" i="1"/>
  <c r="N43" i="1" s="1"/>
  <c r="K42" i="1"/>
  <c r="N42" i="1" s="1"/>
  <c r="K44" i="1"/>
  <c r="N44" i="1" s="1"/>
  <c r="K45" i="1"/>
  <c r="N45" i="1" s="1"/>
  <c r="K46" i="1"/>
  <c r="N46" i="1" s="1"/>
  <c r="K47" i="1"/>
  <c r="N47" i="1" s="1"/>
  <c r="K48" i="1"/>
  <c r="N48" i="1" s="1"/>
  <c r="K49" i="1"/>
  <c r="N49" i="1" s="1"/>
  <c r="K50" i="1"/>
  <c r="N50" i="1" s="1"/>
  <c r="K51" i="1"/>
  <c r="N51" i="1" s="1"/>
  <c r="K53" i="1"/>
  <c r="N53" i="1" s="1"/>
  <c r="K54" i="1"/>
  <c r="N54" i="1" s="1"/>
  <c r="K52" i="1"/>
  <c r="N52" i="1" s="1"/>
  <c r="K55" i="1"/>
  <c r="N55" i="1" s="1"/>
  <c r="K56" i="1"/>
  <c r="N56" i="1" s="1"/>
  <c r="K58" i="1"/>
  <c r="N58" i="1" s="1"/>
  <c r="K59" i="1"/>
  <c r="N59" i="1" s="1"/>
  <c r="K57" i="1"/>
  <c r="N57" i="1" s="1"/>
  <c r="K60" i="1"/>
  <c r="N60" i="1" s="1"/>
  <c r="K61" i="1"/>
  <c r="N61" i="1" s="1"/>
  <c r="K62" i="1"/>
  <c r="N62" i="1" s="1"/>
  <c r="K63" i="1"/>
  <c r="N63" i="1" s="1"/>
  <c r="K64" i="1"/>
  <c r="N64" i="1" s="1"/>
  <c r="K65" i="1"/>
  <c r="N65" i="1" s="1"/>
  <c r="K66" i="1"/>
  <c r="N66" i="1" s="1"/>
  <c r="K69" i="1"/>
  <c r="N69" i="1" s="1"/>
  <c r="K67" i="1"/>
  <c r="N67" i="1" s="1"/>
  <c r="K68" i="1"/>
  <c r="N68" i="1" s="1"/>
  <c r="K70" i="1"/>
  <c r="N70" i="1" s="1"/>
  <c r="K73" i="1"/>
  <c r="N73" i="1" s="1"/>
  <c r="K72" i="1"/>
  <c r="N72" i="1" s="1"/>
  <c r="K71" i="1"/>
  <c r="N71" i="1" s="1"/>
  <c r="K74" i="1"/>
  <c r="N74" i="1" s="1"/>
  <c r="K76" i="1"/>
  <c r="N76" i="1" s="1"/>
  <c r="K77" i="1"/>
  <c r="N77" i="1" s="1"/>
  <c r="K75" i="1"/>
  <c r="N75" i="1" s="1"/>
  <c r="K79" i="1"/>
  <c r="N79" i="1" s="1"/>
  <c r="K78" i="1"/>
  <c r="N78" i="1" s="1"/>
  <c r="K82" i="1"/>
  <c r="N82" i="1" s="1"/>
  <c r="K83" i="1"/>
  <c r="N83" i="1" s="1"/>
  <c r="K80" i="1"/>
  <c r="N80" i="1" s="1"/>
  <c r="K84" i="1"/>
  <c r="N84" i="1" s="1"/>
  <c r="K85" i="1"/>
  <c r="N85" i="1" s="1"/>
  <c r="K81" i="1"/>
  <c r="N81" i="1" s="1"/>
  <c r="K86" i="1"/>
  <c r="N86" i="1" s="1"/>
  <c r="K88" i="1"/>
  <c r="N88" i="1" s="1"/>
  <c r="K87" i="1"/>
  <c r="N87" i="1" s="1"/>
  <c r="K89" i="1"/>
  <c r="N89" i="1" s="1"/>
  <c r="K90" i="1"/>
  <c r="N90" i="1" s="1"/>
  <c r="K91" i="1"/>
  <c r="N91" i="1" s="1"/>
  <c r="K92" i="1"/>
  <c r="N92" i="1" s="1"/>
  <c r="K93" i="1"/>
  <c r="N93" i="1" s="1"/>
  <c r="K94" i="1"/>
  <c r="N94" i="1" s="1"/>
  <c r="K95" i="1"/>
  <c r="N95" i="1" s="1"/>
  <c r="K96" i="1"/>
  <c r="N96" i="1" s="1"/>
  <c r="K97" i="1"/>
  <c r="N97" i="1" s="1"/>
  <c r="K100" i="1"/>
  <c r="N100" i="1" s="1"/>
  <c r="K98" i="1"/>
  <c r="N98" i="1" s="1"/>
  <c r="K99" i="1"/>
  <c r="N99" i="1" s="1"/>
  <c r="K9" i="1"/>
  <c r="N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tc={3CABDC23-B87B-4EFF-8457-6DA5BD60EEE5}</author>
    <author>tc={31493513-ED53-4F9D-B15E-D98130B14483}</author>
    <author>tc={DC2ED57F-7EF3-4277-86AE-34994F99F245}</author>
    <author>tc={A7F9BE7C-8A99-4181-B294-F4D4FCC27CB7}</author>
  </authors>
  <commentList>
    <comment ref="G1" authorId="0" shapeId="0" xr:uid="{3CABDC23-B87B-4EFF-8457-6DA5BD60EE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Quantidade de peças em controle de qualidade recebimento.</t>
      </text>
    </comment>
    <comment ref="H1" authorId="1" shapeId="0" xr:uid="{31493513-ED53-4F9D-B15E-D98130B1448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Estoque em cobertura para atendimento das demandas de produção</t>
      </text>
    </comment>
    <comment ref="I1" authorId="2" shapeId="0" xr:uid="{DC2ED57F-7EF3-4277-86AE-34994F99F2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Estoque de segurança para não impactar em criticidade de recebimento.</t>
      </text>
    </comment>
    <comment ref="K1" authorId="3" shapeId="0" xr:uid="{A7F9BE7C-8A99-4181-B294-F4D4FCC27C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Deadline considerando que o item esta dentro do prazo de 7 dias para inspeção de recebimento.</t>
      </text>
    </comment>
  </commentList>
</comments>
</file>

<file path=xl/sharedStrings.xml><?xml version="1.0" encoding="utf-8"?>
<sst xmlns="http://schemas.openxmlformats.org/spreadsheetml/2006/main" count="2592" uniqueCount="488">
  <si>
    <t>001</t>
  </si>
  <si>
    <t>2720019734</t>
  </si>
  <si>
    <t>1632</t>
  </si>
  <si>
    <t>CALCO MESA PCO (RJ)</t>
  </si>
  <si>
    <t>Z001</t>
  </si>
  <si>
    <t>2465848</t>
  </si>
  <si>
    <t>PC</t>
  </si>
  <si>
    <t>LIB  AMOS RNEC QLRE</t>
  </si>
  <si>
    <t>98118312</t>
  </si>
  <si>
    <t>9821980007</t>
  </si>
  <si>
    <t>10</t>
  </si>
  <si>
    <t>110</t>
  </si>
  <si>
    <t>Z27R</t>
  </si>
  <si>
    <t>Z2</t>
  </si>
  <si>
    <t>2720019276</t>
  </si>
  <si>
    <t>ETIQ ADES INDIV 127V VE2C (NE)</t>
  </si>
  <si>
    <t>2465774</t>
  </si>
  <si>
    <t>98119680</t>
  </si>
  <si>
    <t>9821983230</t>
  </si>
  <si>
    <t>122</t>
  </si>
  <si>
    <t>2720019497</t>
  </si>
  <si>
    <t>ETIQ. ADES. INDIV. 220V VE6A - AMAZON</t>
  </si>
  <si>
    <t>2464981</t>
  </si>
  <si>
    <t>9821981136</t>
  </si>
  <si>
    <t>2720018982</t>
  </si>
  <si>
    <t>FOLHETO INSTRUÇÃO/USO VE7B</t>
  </si>
  <si>
    <t>2465513</t>
  </si>
  <si>
    <t>98117862</t>
  </si>
  <si>
    <t>9821981070</t>
  </si>
  <si>
    <t>2720019592</t>
  </si>
  <si>
    <t>ETIQUETA ADES. INDIV. 220V VE50 (NE)</t>
  </si>
  <si>
    <t>2464982</t>
  </si>
  <si>
    <t>9821981111</t>
  </si>
  <si>
    <t>2720019690</t>
  </si>
  <si>
    <t>FOLHETO INSTRUÇÃO/GARANTIA LN86/87/88</t>
  </si>
  <si>
    <t>2465506</t>
  </si>
  <si>
    <t>9821971868</t>
  </si>
  <si>
    <t>999</t>
  </si>
  <si>
    <t>2720019693</t>
  </si>
  <si>
    <t>FOLHETO INSTRUÇÃO/GARANTIA LN50/LN51</t>
  </si>
  <si>
    <t>2465504</t>
  </si>
  <si>
    <t>9821971872</t>
  </si>
  <si>
    <t>002</t>
  </si>
  <si>
    <t>9201612300</t>
  </si>
  <si>
    <t>REBITE CAB LENT 3X9</t>
  </si>
  <si>
    <t>2460001</t>
  </si>
  <si>
    <t>98112956</t>
  </si>
  <si>
    <t>9821966261</t>
  </si>
  <si>
    <t>PP8</t>
  </si>
  <si>
    <t>Z92R</t>
  </si>
  <si>
    <t>004</t>
  </si>
  <si>
    <t>9201612301</t>
  </si>
  <si>
    <t>REBITE CAB LENT 3,5X9</t>
  </si>
  <si>
    <t>2459213</t>
  </si>
  <si>
    <t>CONT RESU RNEC QLRE</t>
  </si>
  <si>
    <t>9821966265</t>
  </si>
  <si>
    <t>9295307140</t>
  </si>
  <si>
    <t>ETQ INSTRUCAO DE USO 2100125668</t>
  </si>
  <si>
    <t>2465755</t>
  </si>
  <si>
    <t>9821981162</t>
  </si>
  <si>
    <t>9295307141</t>
  </si>
  <si>
    <t>ETQ MARKETING CJ TEFAL INGENIO</t>
  </si>
  <si>
    <t>2465756</t>
  </si>
  <si>
    <t>9821981163</t>
  </si>
  <si>
    <t>2720019754</t>
  </si>
  <si>
    <t>GRAXA PARALIQ GA 343 - KLUBER</t>
  </si>
  <si>
    <t>2462734</t>
  </si>
  <si>
    <t>98102794</t>
  </si>
  <si>
    <t>9821971775</t>
  </si>
  <si>
    <t>2720019626</t>
  </si>
  <si>
    <t>ETIQ ENER./PROCEL 127V VE97 (RJ)</t>
  </si>
  <si>
    <t>2465768</t>
  </si>
  <si>
    <t>9821978762</t>
  </si>
  <si>
    <t>2720019236</t>
  </si>
  <si>
    <t>ETIQUETA DO CORPO LQ41</t>
  </si>
  <si>
    <t>2465318</t>
  </si>
  <si>
    <t>98121039</t>
  </si>
  <si>
    <t>9821978363</t>
  </si>
  <si>
    <t>2720012214</t>
  </si>
  <si>
    <t>CONJUNTO FACA CIMITARRA</t>
  </si>
  <si>
    <t>2465609</t>
  </si>
  <si>
    <t>98117974</t>
  </si>
  <si>
    <t>9821972074</t>
  </si>
  <si>
    <t>160</t>
  </si>
  <si>
    <t>2465746</t>
  </si>
  <si>
    <t>2464774</t>
  </si>
  <si>
    <t>2720018983</t>
  </si>
  <si>
    <t>ETIQUETA ADES. INDIVIDUAL VE7B 220V</t>
  </si>
  <si>
    <t>2465773</t>
  </si>
  <si>
    <t>9821982356</t>
  </si>
  <si>
    <t>2720015746</t>
  </si>
  <si>
    <t>ETIQ ENER./PROCEL 127V VDBT (RJ)</t>
  </si>
  <si>
    <t>2465759</t>
  </si>
  <si>
    <t>9821981109</t>
  </si>
  <si>
    <t>Z1</t>
  </si>
  <si>
    <t>003</t>
  </si>
  <si>
    <t>9295303174</t>
  </si>
  <si>
    <t>HASTE TP CLOCK CONTROL R 4,5L(ENTALHE)O</t>
  </si>
  <si>
    <t>2465749</t>
  </si>
  <si>
    <t>9821968716</t>
  </si>
  <si>
    <t>2720019624</t>
  </si>
  <si>
    <t>ETIQ ENER./PROCEL 127V VE91 (RJ)</t>
  </si>
  <si>
    <t>2465762</t>
  </si>
  <si>
    <t>9821981141</t>
  </si>
  <si>
    <t>2720019739</t>
  </si>
  <si>
    <t>TIGELA SX15 PLASTICA BRANCO - IBE</t>
  </si>
  <si>
    <t>2465881</t>
  </si>
  <si>
    <t>98117887</t>
  </si>
  <si>
    <t>9821982605</t>
  </si>
  <si>
    <t>2720019741</t>
  </si>
  <si>
    <t>TIGELA SX15 (PR) - IBE</t>
  </si>
  <si>
    <t>2465180</t>
  </si>
  <si>
    <t>9821979274</t>
  </si>
  <si>
    <t>2720019316</t>
  </si>
  <si>
    <t>FOLHETO INSTR/GARANT MP52/62/63/72</t>
  </si>
  <si>
    <t>2465433</t>
  </si>
  <si>
    <t>9821979343</t>
  </si>
  <si>
    <t>2720019563</t>
  </si>
  <si>
    <t>ETIQ ENER./PROCEL 220V VE50 (RJ)</t>
  </si>
  <si>
    <t>2465118</t>
  </si>
  <si>
    <t>9821978773</t>
  </si>
  <si>
    <t>2720018730</t>
  </si>
  <si>
    <t>ETIQ. ADES. INDIVIDUAL 220V LN50</t>
  </si>
  <si>
    <t>2465770</t>
  </si>
  <si>
    <t>9821981122</t>
  </si>
  <si>
    <t>2720019235</t>
  </si>
  <si>
    <t>ETIQUETA DO CORPO LQ40</t>
  </si>
  <si>
    <t>2465317</t>
  </si>
  <si>
    <t>9821978362</t>
  </si>
  <si>
    <t>2720019632</t>
  </si>
  <si>
    <t>ETIQ ENER/PROCEL 127V VE2C/VD2C (RJ)</t>
  </si>
  <si>
    <t>2465119</t>
  </si>
  <si>
    <t>9821978758</t>
  </si>
  <si>
    <t>2464974</t>
  </si>
  <si>
    <t>9821978763</t>
  </si>
  <si>
    <t>2464973</t>
  </si>
  <si>
    <t>9821978252</t>
  </si>
  <si>
    <t>2730019119</t>
  </si>
  <si>
    <t>DISCO REFLETOR VX10</t>
  </si>
  <si>
    <t>2465961</t>
  </si>
  <si>
    <t>9821973529</t>
  </si>
  <si>
    <t>2465745</t>
  </si>
  <si>
    <t>9821973527</t>
  </si>
  <si>
    <t>2720019498</t>
  </si>
  <si>
    <t>CAIXA PAP INDIV. VE91 - LOJAS CEM</t>
  </si>
  <si>
    <t>2464545</t>
  </si>
  <si>
    <t>9821967372</t>
  </si>
  <si>
    <t>2720019562</t>
  </si>
  <si>
    <t>ETIQ ENER./PROCEL 127V VE50 (RJ)</t>
  </si>
  <si>
    <t>2464969</t>
  </si>
  <si>
    <t>9821976698</t>
  </si>
  <si>
    <t>2720019458</t>
  </si>
  <si>
    <t>ETIQ ADES INDIV 220V VE2C - HAVAN</t>
  </si>
  <si>
    <t>2464980</t>
  </si>
  <si>
    <t>9821981135</t>
  </si>
  <si>
    <t>9295304413</t>
  </si>
  <si>
    <t>ANEL VED PPFI 7L CLOCK/ ROCHEDO SILICON</t>
  </si>
  <si>
    <t>2463180</t>
  </si>
  <si>
    <t>98100091</t>
  </si>
  <si>
    <t>9821973418</t>
  </si>
  <si>
    <t>2463503</t>
  </si>
  <si>
    <t>2463501</t>
  </si>
  <si>
    <t>2464847</t>
  </si>
  <si>
    <t>9821961125</t>
  </si>
  <si>
    <t>2464332</t>
  </si>
  <si>
    <t>2464850</t>
  </si>
  <si>
    <t>2720019456</t>
  </si>
  <si>
    <t>CAIXA PAP INDIV VE2C - HAVAN</t>
  </si>
  <si>
    <t>2461514</t>
  </si>
  <si>
    <t>CONT ERRO RNEC QLRE</t>
  </si>
  <si>
    <t>9821967377</t>
  </si>
  <si>
    <t>2720018809</t>
  </si>
  <si>
    <t>CORDAO PLUGUE/TERM 0,75 (PR) COL</t>
  </si>
  <si>
    <t>2465715</t>
  </si>
  <si>
    <t>10000071</t>
  </si>
  <si>
    <t>9821967206</t>
  </si>
  <si>
    <t>130</t>
  </si>
  <si>
    <t>2464547</t>
  </si>
  <si>
    <t>2720019309</t>
  </si>
  <si>
    <t>ETIQ. ADES GUIA RÁPIDO MULTICHEF</t>
  </si>
  <si>
    <t>2464967</t>
  </si>
  <si>
    <t>9821976691</t>
  </si>
  <si>
    <t>9295303424</t>
  </si>
  <si>
    <t>HASTE TP CLOCK CONTROL 7,0L (ENTALHE OB</t>
  </si>
  <si>
    <t>2465578</t>
  </si>
  <si>
    <t>9821973536</t>
  </si>
  <si>
    <t>2465574</t>
  </si>
  <si>
    <t>9821973535</t>
  </si>
  <si>
    <t>2720019691</t>
  </si>
  <si>
    <t>FOLHETO INSTRUÇÃO/GARANTIA LQ10/11/12</t>
  </si>
  <si>
    <t>2465450</t>
  </si>
  <si>
    <t>9821981082</t>
  </si>
  <si>
    <t>2720018446</t>
  </si>
  <si>
    <t>. MOTOR VE60 POWER PI7520 3V 127V AL PO</t>
  </si>
  <si>
    <t>2465185</t>
  </si>
  <si>
    <t>99003700</t>
  </si>
  <si>
    <t>9821952465</t>
  </si>
  <si>
    <t>140</t>
  </si>
  <si>
    <t>9295306921</t>
  </si>
  <si>
    <t>PINO LISO PPFI ROCHEDO TURBO</t>
  </si>
  <si>
    <t>2464845</t>
  </si>
  <si>
    <t>98118454</t>
  </si>
  <si>
    <t>9821969426</t>
  </si>
  <si>
    <t>9201512661</t>
  </si>
  <si>
    <t>HASTE TP ROCH TURBO 4,5/ 7,0L POL(CROMO</t>
  </si>
  <si>
    <t>2465741</t>
  </si>
  <si>
    <t>9821967277</t>
  </si>
  <si>
    <t>2465737</t>
  </si>
  <si>
    <t>2720017474</t>
  </si>
  <si>
    <t>CORDAO PLUG TERM0,5 VE7C (PR-RJ)</t>
  </si>
  <si>
    <t>2465987</t>
  </si>
  <si>
    <t>9821969365</t>
  </si>
  <si>
    <t>2465981</t>
  </si>
  <si>
    <t>2465714</t>
  </si>
  <si>
    <t>9821967205</t>
  </si>
  <si>
    <t>2720019631</t>
  </si>
  <si>
    <t>ETIQ ENER/PROCEL 220V VE2E/VD2E (RJ)</t>
  </si>
  <si>
    <t>2464972</t>
  </si>
  <si>
    <t>9821978255</t>
  </si>
  <si>
    <t>2465764</t>
  </si>
  <si>
    <t>9821981116</t>
  </si>
  <si>
    <t>2720019267</t>
  </si>
  <si>
    <t>CAIXA PAP INDIV VE2E (RJ)</t>
  </si>
  <si>
    <t>2465963</t>
  </si>
  <si>
    <t>9821980907</t>
  </si>
  <si>
    <t>2465962</t>
  </si>
  <si>
    <t>2465748</t>
  </si>
  <si>
    <t>9821979271</t>
  </si>
  <si>
    <t>2720019630</t>
  </si>
  <si>
    <t>ETIQ ENER/PROCEL 127V VE2E/VD2E (RJ)</t>
  </si>
  <si>
    <t>2465765</t>
  </si>
  <si>
    <t>9821982350</t>
  </si>
  <si>
    <t>2465763</t>
  </si>
  <si>
    <t>9821981112</t>
  </si>
  <si>
    <t>2730018508</t>
  </si>
  <si>
    <t>MOLA TRAVA DO GLOBO VX10</t>
  </si>
  <si>
    <t>2465960</t>
  </si>
  <si>
    <t>9821973526</t>
  </si>
  <si>
    <t>000</t>
  </si>
  <si>
    <t>2720019638</t>
  </si>
  <si>
    <t>CALCO PAP VF40 (BENEF. EXTERNO)</t>
  </si>
  <si>
    <t>2465750</t>
  </si>
  <si>
    <t>98118942</t>
  </si>
  <si>
    <t>9821971378</t>
  </si>
  <si>
    <t>2730022248</t>
  </si>
  <si>
    <t>CORDAO PLUG TERM 0,5 VF30/VF40  (PR)</t>
  </si>
  <si>
    <t>2465982</t>
  </si>
  <si>
    <t>9821964326</t>
  </si>
  <si>
    <t>2465988</t>
  </si>
  <si>
    <t>2720019361</t>
  </si>
  <si>
    <t>CAIXA PAP INDIV VD2C (RJ)</t>
  </si>
  <si>
    <t>2465877</t>
  </si>
  <si>
    <t>9821977123</t>
  </si>
  <si>
    <t>2720019355</t>
  </si>
  <si>
    <t>CAIXA PAP INDIV VD2E (RJ)</t>
  </si>
  <si>
    <t>2465747</t>
  </si>
  <si>
    <t>9821977126</t>
  </si>
  <si>
    <t>2465251</t>
  </si>
  <si>
    <t>2465280</t>
  </si>
  <si>
    <t>2720017635</t>
  </si>
  <si>
    <t>CJ EIXO+FACA 3LAM+VRING LN81/LN82</t>
  </si>
  <si>
    <t>2465611</t>
  </si>
  <si>
    <t>9821969712</t>
  </si>
  <si>
    <t>2465871</t>
  </si>
  <si>
    <t>2465738</t>
  </si>
  <si>
    <t>2465575</t>
  </si>
  <si>
    <t>2720017389</t>
  </si>
  <si>
    <t>. MOTOR VE90 220V 3V 7525 AL PCB LS PO</t>
  </si>
  <si>
    <t>2465782</t>
  </si>
  <si>
    <t>9821961946</t>
  </si>
  <si>
    <t>2720018720</t>
  </si>
  <si>
    <t>CJ EIXO FACAS L PMIX LQ18</t>
  </si>
  <si>
    <t>2465739</t>
  </si>
  <si>
    <t>9821973531</t>
  </si>
  <si>
    <t>2465742</t>
  </si>
  <si>
    <t>2464538</t>
  </si>
  <si>
    <t>9821973530</t>
  </si>
  <si>
    <t>2720019137</t>
  </si>
  <si>
    <t>CONJ EIXO C/ FACAS+VRING LQ10</t>
  </si>
  <si>
    <t>2464533</t>
  </si>
  <si>
    <t>9821968715</t>
  </si>
  <si>
    <t>2465605</t>
  </si>
  <si>
    <t>9821970628</t>
  </si>
  <si>
    <t>2465197</t>
  </si>
  <si>
    <t>2720017472</t>
  </si>
  <si>
    <t>CORDAO PLUG TERM0,5 VE70 (PR-RJ)</t>
  </si>
  <si>
    <t>2465722</t>
  </si>
  <si>
    <t>9821964322</t>
  </si>
  <si>
    <t>2465724</t>
  </si>
  <si>
    <t>2465072</t>
  </si>
  <si>
    <t>9821967208</t>
  </si>
  <si>
    <t>2465980</t>
  </si>
  <si>
    <t>9821970539</t>
  </si>
  <si>
    <t>2465983</t>
  </si>
  <si>
    <t>9821968621</t>
  </si>
  <si>
    <t>2465074</t>
  </si>
  <si>
    <t>2465998</t>
  </si>
  <si>
    <t>9295304144</t>
  </si>
  <si>
    <t>ANEL VED PPFI 3/4,5L CLOCK/ROCHEDO SILI</t>
  </si>
  <si>
    <t>2465070</t>
  </si>
  <si>
    <t>98117771</t>
  </si>
  <si>
    <t>9821978688</t>
  </si>
  <si>
    <t>2462742</t>
  </si>
  <si>
    <t>9821972063</t>
  </si>
  <si>
    <t>2720017388</t>
  </si>
  <si>
    <t>. MOTOR VE90 127V 3V 7525 AL PCB LS PO</t>
  </si>
  <si>
    <t>2465600</t>
  </si>
  <si>
    <t>9821961941</t>
  </si>
  <si>
    <t>2730002905</t>
  </si>
  <si>
    <t>BUCHA SINTERIZ BAC2/BSA/NLE/NLS/NPRO/RT</t>
  </si>
  <si>
    <t>2465603</t>
  </si>
  <si>
    <t>98103208</t>
  </si>
  <si>
    <t>9821980983</t>
  </si>
  <si>
    <t>2720018291</t>
  </si>
  <si>
    <t>LUVA COPO PMIX LQ18/19</t>
  </si>
  <si>
    <t>2464525</t>
  </si>
  <si>
    <t>9821978695</t>
  </si>
  <si>
    <t>2464524</t>
  </si>
  <si>
    <t>9821976601</t>
  </si>
  <si>
    <t>9211551035</t>
  </si>
  <si>
    <t>VALV SEGURANCA P/ PPFI (PEQ)</t>
  </si>
  <si>
    <t>2463179</t>
  </si>
  <si>
    <t>9821972016</t>
  </si>
  <si>
    <t>2465536</t>
  </si>
  <si>
    <t>9821976505</t>
  </si>
  <si>
    <t>2720017850</t>
  </si>
  <si>
    <t>MORDENTE VE60</t>
  </si>
  <si>
    <t>2464398</t>
  </si>
  <si>
    <t>98106973</t>
  </si>
  <si>
    <t>9821981030</t>
  </si>
  <si>
    <t>2720019377</t>
  </si>
  <si>
    <t>ETIQUETA DA GRADE VD2E/VD2C</t>
  </si>
  <si>
    <t>2465324</t>
  </si>
  <si>
    <t>9821976674</t>
  </si>
  <si>
    <t>2466017</t>
  </si>
  <si>
    <t>9821978746</t>
  </si>
  <si>
    <t>2705376100</t>
  </si>
  <si>
    <t>AS-7027 PORCA SEXT M6 CH 10 M5 ZCL</t>
  </si>
  <si>
    <t>2464456</t>
  </si>
  <si>
    <t>9821980166</t>
  </si>
  <si>
    <t>2720002663</t>
  </si>
  <si>
    <t>AS-A443 INTERRUPTOR 3VEL FD40/30/NV32/MF</t>
  </si>
  <si>
    <t>2463507</t>
  </si>
  <si>
    <t>98100029</t>
  </si>
  <si>
    <t>9821965970</t>
  </si>
  <si>
    <t>2465732</t>
  </si>
  <si>
    <t>9821969377</t>
  </si>
  <si>
    <t>2464830</t>
  </si>
  <si>
    <t>9821967210</t>
  </si>
  <si>
    <t>2464829</t>
  </si>
  <si>
    <t>9821968632</t>
  </si>
  <si>
    <t>2464601</t>
  </si>
  <si>
    <t>9821967209</t>
  </si>
  <si>
    <t>2464339</t>
  </si>
  <si>
    <t>9821965971</t>
  </si>
  <si>
    <t>Início do controle</t>
  </si>
  <si>
    <t>Nível MRP</t>
  </si>
  <si>
    <t>Material</t>
  </si>
  <si>
    <t>Centro planej.</t>
  </si>
  <si>
    <t>Texto breve de material</t>
  </si>
  <si>
    <t>Qtd.lote controle</t>
  </si>
  <si>
    <t>Estoque de centro</t>
  </si>
  <si>
    <t>Estoque de segurança</t>
  </si>
  <si>
    <t>Cobert.estoq.dias</t>
  </si>
  <si>
    <t>Grupo MRP</t>
  </si>
  <si>
    <t>Área MRP</t>
  </si>
  <si>
    <t>Lote de controle</t>
  </si>
  <si>
    <t>Status do sistema</t>
  </si>
  <si>
    <t>Fim do controle</t>
  </si>
  <si>
    <t>Fornecedor</t>
  </si>
  <si>
    <t>Documento de compras</t>
  </si>
  <si>
    <t>Item</t>
  </si>
  <si>
    <t>Planejador MRP</t>
  </si>
  <si>
    <t>Tipo de material</t>
  </si>
  <si>
    <t>Tipo de MRP</t>
  </si>
  <si>
    <t>UM básica</t>
  </si>
  <si>
    <t>Dep.estoq.lote ctrl.</t>
  </si>
  <si>
    <t>Texto breve do objeto de controle</t>
  </si>
  <si>
    <t>Etapa de controle</t>
  </si>
  <si>
    <t>Doc.material</t>
  </si>
  <si>
    <t>Lote gerado a</t>
  </si>
  <si>
    <t>Autor da DU</t>
  </si>
  <si>
    <t>Data code DU</t>
  </si>
  <si>
    <t>1620</t>
  </si>
  <si>
    <t>1</t>
  </si>
  <si>
    <t>5008077444</t>
  </si>
  <si>
    <t/>
  </si>
  <si>
    <t>5008094587</t>
  </si>
  <si>
    <t>5008130622</t>
  </si>
  <si>
    <t>1622</t>
  </si>
  <si>
    <t>5008162443</t>
  </si>
  <si>
    <t>50</t>
  </si>
  <si>
    <t>5008162687</t>
  </si>
  <si>
    <t>5008179935</t>
  </si>
  <si>
    <t>5008186590</t>
  </si>
  <si>
    <t>5008186505</t>
  </si>
  <si>
    <t>5008186506</t>
  </si>
  <si>
    <t>5008203135</t>
  </si>
  <si>
    <t>5008202605</t>
  </si>
  <si>
    <t>5008205611</t>
  </si>
  <si>
    <t>5008205357</t>
  </si>
  <si>
    <t>5008207884</t>
  </si>
  <si>
    <t>5008207886</t>
  </si>
  <si>
    <t>5008210544</t>
  </si>
  <si>
    <t>5008210134</t>
  </si>
  <si>
    <t>5008210410</t>
  </si>
  <si>
    <t>5008209872</t>
  </si>
  <si>
    <t>5008210216</t>
  </si>
  <si>
    <t>5008215553</t>
  </si>
  <si>
    <t>5008215555</t>
  </si>
  <si>
    <t>5008215198</t>
  </si>
  <si>
    <t>5008215628</t>
  </si>
  <si>
    <t>5008215665</t>
  </si>
  <si>
    <t>5008215660</t>
  </si>
  <si>
    <t>5008215662</t>
  </si>
  <si>
    <t>5008215580</t>
  </si>
  <si>
    <t>5008215582</t>
  </si>
  <si>
    <t>5008215567</t>
  </si>
  <si>
    <t>5008219390</t>
  </si>
  <si>
    <t>5008219391</t>
  </si>
  <si>
    <t>5008220584</t>
  </si>
  <si>
    <t>5008219123</t>
  </si>
  <si>
    <t>5008220267</t>
  </si>
  <si>
    <t>5008219179</t>
  </si>
  <si>
    <t>5008221548</t>
  </si>
  <si>
    <t>5008222235</t>
  </si>
  <si>
    <t>5008221660</t>
  </si>
  <si>
    <t>5008223099</t>
  </si>
  <si>
    <t>5008226203</t>
  </si>
  <si>
    <t>5008226206</t>
  </si>
  <si>
    <t>5008225626</t>
  </si>
  <si>
    <t>5008226176</t>
  </si>
  <si>
    <t>5008225494</t>
  </si>
  <si>
    <t>5008225592</t>
  </si>
  <si>
    <t>5008225552</t>
  </si>
  <si>
    <t>5008225590</t>
  </si>
  <si>
    <t>5008226174</t>
  </si>
  <si>
    <t>5008226072</t>
  </si>
  <si>
    <t>5008229018</t>
  </si>
  <si>
    <t>5008228112</t>
  </si>
  <si>
    <t>5008228823</t>
  </si>
  <si>
    <t>5008228825</t>
  </si>
  <si>
    <t>5008228772</t>
  </si>
  <si>
    <t>5008227740</t>
  </si>
  <si>
    <t>5008227619</t>
  </si>
  <si>
    <t>5008227742</t>
  </si>
  <si>
    <t>5008231627</t>
  </si>
  <si>
    <t>5</t>
  </si>
  <si>
    <t>5008231929</t>
  </si>
  <si>
    <t>5008232397</t>
  </si>
  <si>
    <t>5008231571</t>
  </si>
  <si>
    <t>5008231572</t>
  </si>
  <si>
    <t>5008231577</t>
  </si>
  <si>
    <t>5008231977</t>
  </si>
  <si>
    <t>55</t>
  </si>
  <si>
    <t>5008231644</t>
  </si>
  <si>
    <t>5008231643</t>
  </si>
  <si>
    <t>5008231950</t>
  </si>
  <si>
    <t>5008231649</t>
  </si>
  <si>
    <t>5008233276</t>
  </si>
  <si>
    <t>5008231579</t>
  </si>
  <si>
    <t>5008231519</t>
  </si>
  <si>
    <t>5008231575</t>
  </si>
  <si>
    <t>5008231648</t>
  </si>
  <si>
    <t>5008231811</t>
  </si>
  <si>
    <t>5008235008</t>
  </si>
  <si>
    <t>5008235009</t>
  </si>
  <si>
    <t>5008235118</t>
  </si>
  <si>
    <t>5008235021</t>
  </si>
  <si>
    <t>5008234767</t>
  </si>
  <si>
    <t>5008234942</t>
  </si>
  <si>
    <t>5008234943</t>
  </si>
  <si>
    <t>5008234822</t>
  </si>
  <si>
    <t>5008235477</t>
  </si>
  <si>
    <t>5008234825</t>
  </si>
  <si>
    <t>5008234919</t>
  </si>
  <si>
    <t>5008234940</t>
  </si>
  <si>
    <t>DEADLINE</t>
  </si>
  <si>
    <t>STATUS</t>
  </si>
  <si>
    <t>UM</t>
  </si>
  <si>
    <t>Total Geral</t>
  </si>
  <si>
    <t>ATENÇÃO</t>
  </si>
  <si>
    <t>ATRASADO</t>
  </si>
  <si>
    <t>NO PRAZO</t>
  </si>
  <si>
    <t>VENCE HOJE</t>
  </si>
  <si>
    <t>QUANTIDADE</t>
  </si>
  <si>
    <t>DATA LIBERAÇÃO</t>
  </si>
  <si>
    <t>AUTOR LIBERAÇÃO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</si>
</sst>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0"/>
    <numFmt numFmtId="166" formatCode="[$-F400]h:mm:ss\ AM/PM"/>
  </numFmts>
  <fonts count="3" x14ac:knownFonts="1">
    <font>
      <sz val="10"/>
      <name val="Arial"/>
    </font>
    <font>
      <b/>
      <sz val="10"/>
      <name val="Arial"/>
      <family val="2"/>
    </font>
    <font>
      <b/>
      <sz val="10"/>
      <color theme="0" tint="-0.149998474074526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166" fontId="0" fillId="0" borderId="1" xfId="0" applyNumberForma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color theme="0"/>
      </font>
      <fill>
        <gradientFill degree="90">
          <stop position="0">
            <color theme="0" tint="-5.0965910824915313E-2"/>
          </stop>
          <stop position="1">
            <color rgb="FF00B050"/>
          </stop>
        </gradientFill>
      </fill>
    </dxf>
    <dxf>
      <font>
        <b/>
        <i val="0"/>
        <color theme="1"/>
      </font>
      <fill>
        <gradientFill degree="90">
          <stop position="0">
            <color theme="0" tint="-0.1490218817712943"/>
          </stop>
          <stop position="1">
            <color rgb="FFFFC000"/>
          </stop>
        </gradientFill>
      </fill>
    </dxf>
    <dxf>
      <font>
        <b/>
        <i val="0"/>
        <color theme="0"/>
      </font>
      <fill>
        <gradientFill degree="90">
          <stop position="0">
            <color theme="0" tint="-0.1490218817712943"/>
          </stop>
          <stop position="1">
            <color rgb="FFC00000"/>
          </stop>
        </gradientFill>
      </fill>
    </dxf>
    <dxf>
      <font>
        <b val="0"/>
        <i val="0"/>
        <color theme="1"/>
      </font>
      <fill>
        <gradientFill degree="90">
          <stop position="0">
            <color theme="0" tint="-5.0965910824915313E-2"/>
          </stop>
          <stop position="1">
            <color rgb="FFFFFF00"/>
          </stop>
        </gradient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LIVEIRA Pedro Filipe de" id="{5109DB1C-3C35-4D59-AFAA-B67BFDA77D17}" userId="S::pfoliveira@groupeseb.com::bd1e717c-36a3-486d-819a-655e4964c2a5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 Pedro Filipe de" refreshedDate="46310.489694791664" createdVersion="8" refreshedVersion="8" minRefreshableVersion="3" recordCount="106" xr:uid="{E7111633-6B70-455C-B09E-B3648C3048A8}">
  <cacheSource type="worksheet">
    <worksheetSource ref="B1:AA100" sheet="SINALIZADOR CRITICO"/>
  </cacheSource>
  <cacheFields count="24">
    <cacheField name="Início do controle" numFmtId="14">
      <sharedItems containsSemiMixedTypes="0" containsNonDate="0" containsDate="1" containsString="0" minDate="2026-08-11T00:00:00" maxDate="2026-10-15T00:00:00"/>
    </cacheField>
    <cacheField name="Nível MRP" numFmtId="0">
      <sharedItems/>
    </cacheField>
    <cacheField name="Material" numFmtId="0">
      <sharedItems/>
    </cacheField>
    <cacheField name="Centro planej." numFmtId="0">
      <sharedItems/>
    </cacheField>
    <cacheField name="Texto breve de material" numFmtId="0">
      <sharedItems/>
    </cacheField>
    <cacheField name="Qtd.lote controle" numFmtId="3">
      <sharedItems containsSemiMixedTypes="0" containsString="0" containsNumber="1" containsInteger="1" minValue="25" maxValue="90000"/>
    </cacheField>
    <cacheField name="Estoque de centro" numFmtId="3">
      <sharedItems containsSemiMixedTypes="0" containsString="0" containsNumber="1" containsInteger="1" minValue="0" maxValue="161124"/>
    </cacheField>
    <cacheField name="Estoque de segurança" numFmtId="3">
      <sharedItems containsSemiMixedTypes="0" containsString="0" containsNumber="1" containsInteger="1" minValue="0" maxValue="200000"/>
    </cacheField>
    <cacheField name="Cobert.estoq.dias" numFmtId="164">
      <sharedItems containsSemiMixedTypes="0" containsString="0" containsNumber="1" minValue="-8" maxValue="999.9"/>
    </cacheField>
    <cacheField name="DEADLINE" numFmtId="14">
      <sharedItems containsSemiMixedTypes="0" containsNonDate="0" containsDate="1" containsString="0" minDate="2026-08-18T00:00:00" maxDate="2026-10-22T00:00:00"/>
    </cacheField>
    <cacheField name="STATUS" numFmtId="14">
      <sharedItems count="4">
        <s v="ATRASADO"/>
        <s v="VENCE HOJE"/>
        <s v="NO PRAZO"/>
        <s v="ATENÇÃO"/>
      </sharedItems>
    </cacheField>
    <cacheField name="Grupo MRP" numFmtId="0">
      <sharedItems/>
    </cacheField>
    <cacheField name="Área MRP" numFmtId="0">
      <sharedItems/>
    </cacheField>
    <cacheField name="Lote de controle" numFmtId="0">
      <sharedItems/>
    </cacheField>
    <cacheField name="UM" numFmtId="0">
      <sharedItems/>
    </cacheField>
    <cacheField name="Status do sistema" numFmtId="0">
      <sharedItems count="3">
        <s v="CONT RESU RNEC QLRE"/>
        <s v="LIB  AMOS RNEC QLRE"/>
        <s v="CONT ERRO RNEC QLRE"/>
      </sharedItems>
    </cacheField>
    <cacheField name="Fim do controle" numFmtId="14">
      <sharedItems containsSemiMixedTypes="0" containsNonDate="0" containsDate="1" containsString="0" minDate="2026-08-11T00:00:00" maxDate="2026-10-15T00:00:00"/>
    </cacheField>
    <cacheField name="Fornecedor" numFmtId="0">
      <sharedItems/>
    </cacheField>
    <cacheField name="Documento de compras" numFmtId="0">
      <sharedItems/>
    </cacheField>
    <cacheField name="Item" numFmtId="0">
      <sharedItems/>
    </cacheField>
    <cacheField name="Planejador MRP" numFmtId="0">
      <sharedItems/>
    </cacheField>
    <cacheField name="Tipo de material" numFmtId="0">
      <sharedItems/>
    </cacheField>
    <cacheField name="Tipo de MRP" numFmtId="0">
      <sharedItems/>
    </cacheField>
    <cacheField name="UM básic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d v="2026-08-11T00:00:00"/>
    <s v="004"/>
    <s v="9201612301"/>
    <s v="1632"/>
    <s v="REBITE CAB LENT 3,5X9"/>
    <n v="22113"/>
    <n v="0"/>
    <n v="0"/>
    <n v="999.9"/>
    <d v="2026-08-18T00:00:00"/>
    <x v="0"/>
    <s v="Z001"/>
    <s v="1632"/>
    <s v="2459213"/>
    <s v="PC"/>
    <x v="0"/>
    <d v="2026-08-11T00:00:00"/>
    <s v="98112956"/>
    <s v="9821966265"/>
    <s v="10"/>
    <s v="PP8"/>
    <s v="Z92R"/>
    <s v="Z2"/>
    <s v="PC"/>
  </r>
  <r>
    <d v="2026-08-19T00:00:00"/>
    <s v="002"/>
    <s v="9201612300"/>
    <s v="1632"/>
    <s v="REBITE CAB LENT 3X9"/>
    <n v="21504"/>
    <n v="0"/>
    <n v="0"/>
    <n v="999.9"/>
    <d v="2026-08-26T00:00:00"/>
    <x v="0"/>
    <s v="Z001"/>
    <s v="1632"/>
    <s v="2460001"/>
    <s v="PC"/>
    <x v="1"/>
    <d v="2026-08-19T00:00:00"/>
    <s v="98112956"/>
    <s v="9821966261"/>
    <s v="10"/>
    <s v="PP8"/>
    <s v="Z92R"/>
    <s v="Z2"/>
    <s v="PC"/>
  </r>
  <r>
    <d v="2026-10-05T00:00:00"/>
    <s v="001"/>
    <s v="2720019497"/>
    <s v="1632"/>
    <s v="ETIQ. ADES. INDIV. 220V VE6A - AMAZON"/>
    <n v="6000"/>
    <n v="0"/>
    <n v="6000"/>
    <n v="1"/>
    <d v="2026-10-12T00:00:00"/>
    <x v="0"/>
    <s v="Z001"/>
    <s v="1632"/>
    <s v="2464981"/>
    <s v="PC"/>
    <x v="1"/>
    <d v="2026-10-05T00:00:00"/>
    <s v="98119680"/>
    <s v="9821981136"/>
    <s v="10"/>
    <s v="122"/>
    <s v="Z27R"/>
    <s v="Z2"/>
    <s v="PC"/>
  </r>
  <r>
    <d v="2026-10-05T00:00:00"/>
    <s v="001"/>
    <s v="2720019592"/>
    <s v="1632"/>
    <s v="ETIQUETA ADES. INDIV. 220V VE50 (NE)"/>
    <n v="6000"/>
    <n v="0"/>
    <n v="0"/>
    <n v="15"/>
    <d v="2026-10-12T00:00:00"/>
    <x v="0"/>
    <s v="Z001"/>
    <s v="1632"/>
    <s v="2464982"/>
    <s v="PC"/>
    <x v="1"/>
    <d v="2026-10-05T00:00:00"/>
    <s v="98119680"/>
    <s v="9821981111"/>
    <s v="10"/>
    <s v="122"/>
    <s v="Z27R"/>
    <s v="Z2"/>
    <s v="PC"/>
  </r>
  <r>
    <d v="2026-10-08T00:00:00"/>
    <s v="001"/>
    <s v="2720018982"/>
    <s v="1632"/>
    <s v="FOLHETO INSTRUÇÃO/USO VE7B"/>
    <n v="16110"/>
    <n v="0"/>
    <n v="0"/>
    <n v="11"/>
    <d v="2026-10-15T00:00:00"/>
    <x v="1"/>
    <s v="Z001"/>
    <s v="1632"/>
    <s v="2465513"/>
    <s v="PC"/>
    <x v="1"/>
    <d v="2026-10-08T00:00:00"/>
    <s v="98117862"/>
    <s v="9821981070"/>
    <s v="10"/>
    <s v="110"/>
    <s v="Z27R"/>
    <s v="Z2"/>
    <s v="PC"/>
  </r>
  <r>
    <d v="2026-10-08T00:00:00"/>
    <s v="001"/>
    <s v="2720019690"/>
    <s v="1632"/>
    <s v="FOLHETO INSTRUÇÃO/GARANTIA LN86/87/88"/>
    <n v="16045"/>
    <n v="0"/>
    <n v="5000"/>
    <n v="999.9"/>
    <d v="2026-10-15T00:00:00"/>
    <x v="1"/>
    <s v="Z001"/>
    <s v="1632"/>
    <s v="2465506"/>
    <s v="PC"/>
    <x v="1"/>
    <d v="2026-10-08T00:00:00"/>
    <s v="98117862"/>
    <s v="9821971868"/>
    <s v="10"/>
    <s v="110"/>
    <s v="Z27R"/>
    <s v="Z2"/>
    <s v="PC"/>
  </r>
  <r>
    <d v="2026-10-08T00:00:00"/>
    <s v="999"/>
    <s v="2720019693"/>
    <s v="1632"/>
    <s v="FOLHETO INSTRUÇÃO/GARANTIA LN50/LN51"/>
    <n v="15937"/>
    <n v="0"/>
    <n v="10000"/>
    <n v="999.9"/>
    <d v="2026-10-15T00:00:00"/>
    <x v="1"/>
    <s v="Z001"/>
    <s v="1632"/>
    <s v="2465504"/>
    <s v="PC"/>
    <x v="1"/>
    <d v="2026-10-08T00:00:00"/>
    <s v="98117862"/>
    <s v="9821971872"/>
    <s v="10"/>
    <s v="110"/>
    <s v="Z27R"/>
    <s v="Z2"/>
    <s v="PC"/>
  </r>
  <r>
    <d v="2026-10-13T00:00:00"/>
    <s v="001"/>
    <s v="2720019734"/>
    <s v="1632"/>
    <s v="CALCO MESA PCO (RJ)"/>
    <n v="10185"/>
    <n v="0"/>
    <n v="30000"/>
    <n v="-8"/>
    <d v="2026-10-20T00:00:00"/>
    <x v="2"/>
    <s v="Z001"/>
    <s v="1632"/>
    <s v="2465848"/>
    <s v="PC"/>
    <x v="1"/>
    <d v="2026-10-13T00:00:00"/>
    <s v="98118312"/>
    <s v="9821980007"/>
    <s v="10"/>
    <s v="110"/>
    <s v="Z27R"/>
    <s v="Z2"/>
    <s v="PC"/>
  </r>
  <r>
    <d v="2026-10-13T00:00:00"/>
    <s v="001"/>
    <s v="2720019276"/>
    <s v="1632"/>
    <s v="ETIQ ADES INDIV 127V VE2C (NE)"/>
    <n v="10000"/>
    <n v="0"/>
    <n v="5000"/>
    <n v="-1"/>
    <d v="2026-10-20T00:00:00"/>
    <x v="2"/>
    <s v="Z001"/>
    <s v="1632"/>
    <s v="2465774"/>
    <s v="PC"/>
    <x v="1"/>
    <d v="2026-10-13T00:00:00"/>
    <s v="98119680"/>
    <s v="9821983230"/>
    <s v="10"/>
    <s v="122"/>
    <s v="Z27R"/>
    <s v="Z2"/>
    <s v="PC"/>
  </r>
  <r>
    <d v="2026-10-13T00:00:00"/>
    <s v="001"/>
    <s v="9295307140"/>
    <s v="1632"/>
    <s v="ETQ INSTRUCAO DE USO 2100125668"/>
    <n v="2000"/>
    <n v="0"/>
    <n v="0"/>
    <n v="999.9"/>
    <d v="2026-10-20T00:00:00"/>
    <x v="2"/>
    <s v="Z001"/>
    <s v="1632"/>
    <s v="2465755"/>
    <s v="PC"/>
    <x v="1"/>
    <d v="2026-10-13T00:00:00"/>
    <s v="98119680"/>
    <s v="9821981162"/>
    <s v="10"/>
    <s v="122"/>
    <s v="Z92R"/>
    <s v="Z2"/>
    <s v="PC"/>
  </r>
  <r>
    <d v="2026-10-13T00:00:00"/>
    <s v="001"/>
    <s v="9295307141"/>
    <s v="1632"/>
    <s v="ETQ MARKETING CJ TEFAL INGENIO"/>
    <n v="2000"/>
    <n v="0"/>
    <n v="0"/>
    <n v="999.9"/>
    <d v="2026-10-20T00:00:00"/>
    <x v="2"/>
    <s v="Z001"/>
    <s v="1632"/>
    <s v="2465756"/>
    <s v="PC"/>
    <x v="1"/>
    <d v="2026-10-13T00:00:00"/>
    <s v="98119680"/>
    <s v="9821981163"/>
    <s v="10"/>
    <s v="122"/>
    <s v="Z92R"/>
    <s v="Z2"/>
    <s v="PC"/>
  </r>
  <r>
    <d v="2026-09-15T00:00:00"/>
    <s v="004"/>
    <s v="2720019754"/>
    <s v="1632"/>
    <s v="GRAXA PARALIQ GA 343 - KLUBER"/>
    <n v="25"/>
    <n v="25"/>
    <n v="50"/>
    <n v="123.3"/>
    <d v="2026-09-22T00:00:00"/>
    <x v="0"/>
    <s v="Z001"/>
    <s v="1632"/>
    <s v="2462734"/>
    <s v="KG"/>
    <x v="1"/>
    <d v="2026-09-15T00:00:00"/>
    <s v="98102794"/>
    <s v="9821971775"/>
    <s v="10"/>
    <s v="150"/>
    <s v="Z27R"/>
    <s v="Z2"/>
    <s v="KG"/>
  </r>
  <r>
    <d v="2026-10-13T00:00:00"/>
    <s v="001"/>
    <s v="2720019626"/>
    <s v="1632"/>
    <s v="ETIQ ENER./PROCEL 127V VE97 (RJ)"/>
    <n v="6200"/>
    <n v="49"/>
    <n v="10000"/>
    <n v="15"/>
    <d v="2026-10-20T00:00:00"/>
    <x v="2"/>
    <s v="Z001"/>
    <s v="1632"/>
    <s v="2465768"/>
    <s v="PC"/>
    <x v="1"/>
    <d v="2026-10-13T00:00:00"/>
    <s v="98119680"/>
    <s v="9821978762"/>
    <s v="10"/>
    <s v="122"/>
    <s v="Z27R"/>
    <s v="Z2"/>
    <s v="PC"/>
  </r>
  <r>
    <d v="2026-10-07T00:00:00"/>
    <s v="001"/>
    <s v="2720019236"/>
    <s v="1632"/>
    <s v="ETIQUETA DO CORPO LQ41"/>
    <n v="5000"/>
    <n v="250"/>
    <n v="0"/>
    <n v="12.1"/>
    <d v="2026-10-14T00:00:00"/>
    <x v="0"/>
    <s v="Z001"/>
    <s v="1632"/>
    <s v="2465318"/>
    <s v="PC"/>
    <x v="1"/>
    <d v="2026-10-07T00:00:00"/>
    <s v="98121039"/>
    <s v="9821978363"/>
    <s v="10"/>
    <s v="110"/>
    <s v="Z27R"/>
    <s v="Z2"/>
    <s v="PC"/>
  </r>
  <r>
    <d v="2026-10-05T00:00:00"/>
    <s v="001"/>
    <s v="2720012214"/>
    <s v="1632"/>
    <s v="CONJUNTO FACA CIMITARRA"/>
    <n v="1152"/>
    <n v="1697"/>
    <n v="15000"/>
    <n v="49"/>
    <d v="2026-10-12T00:00:00"/>
    <x v="0"/>
    <s v="Z001"/>
    <s v="1632"/>
    <s v="2464774"/>
    <s v="PC"/>
    <x v="1"/>
    <d v="2026-10-05T00:00:00"/>
    <s v="98117974"/>
    <s v="9821972074"/>
    <s v="10"/>
    <s v="160"/>
    <s v="Z27R"/>
    <s v="Z2"/>
    <s v="PC"/>
  </r>
  <r>
    <d v="2026-10-08T00:00:00"/>
    <s v="001"/>
    <s v="2720012214"/>
    <s v="1632"/>
    <s v="CONJUNTO FACA CIMITARRA"/>
    <n v="1440"/>
    <n v="1697"/>
    <n v="15000"/>
    <n v="49"/>
    <d v="2026-10-15T00:00:00"/>
    <x v="1"/>
    <s v="Z001"/>
    <s v="1632"/>
    <s v="2465609"/>
    <s v="PC"/>
    <x v="1"/>
    <d v="2026-10-08T00:00:00"/>
    <s v="98117974"/>
    <s v="9821972074"/>
    <s v="10"/>
    <s v="160"/>
    <s v="Z27R"/>
    <s v="Z2"/>
    <s v="PC"/>
  </r>
  <r>
    <d v="2026-10-13T00:00:00"/>
    <s v="001"/>
    <s v="2720012214"/>
    <s v="1632"/>
    <s v="CONJUNTO FACA CIMITARRA"/>
    <n v="1008"/>
    <n v="1697"/>
    <n v="15000"/>
    <n v="49"/>
    <d v="2026-10-20T00:00:00"/>
    <x v="2"/>
    <s v="Z001"/>
    <s v="1632"/>
    <s v="2465746"/>
    <s v="PC"/>
    <x v="1"/>
    <d v="2026-10-13T00:00:00"/>
    <s v="98117974"/>
    <s v="9821972074"/>
    <s v="10"/>
    <s v="160"/>
    <s v="Z27R"/>
    <s v="Z2"/>
    <s v="PC"/>
  </r>
  <r>
    <d v="2026-10-13T00:00:00"/>
    <s v="001"/>
    <s v="2720018983"/>
    <s v="1632"/>
    <s v="ETIQUETA ADES. INDIVIDUAL VE7B 220V"/>
    <n v="6000"/>
    <n v="1700"/>
    <n v="0"/>
    <n v="12.4"/>
    <d v="2026-10-20T00:00:00"/>
    <x v="2"/>
    <s v="Z001"/>
    <s v="1632"/>
    <s v="2465773"/>
    <s v="PC"/>
    <x v="1"/>
    <d v="2026-10-13T00:00:00"/>
    <s v="98119680"/>
    <s v="9821982356"/>
    <s v="10"/>
    <s v="122"/>
    <s v="Z27R"/>
    <s v="Z2"/>
    <s v="PC"/>
  </r>
  <r>
    <d v="2026-10-13T00:00:00"/>
    <s v="001"/>
    <s v="2720015746"/>
    <s v="1632"/>
    <s v="ETIQ ENER./PROCEL 127V VDBT (RJ)"/>
    <n v="15600"/>
    <n v="1865"/>
    <n v="1000"/>
    <n v="4"/>
    <d v="2026-10-20T00:00:00"/>
    <x v="2"/>
    <s v="Z001"/>
    <s v="1632"/>
    <s v="2465759"/>
    <s v="PC"/>
    <x v="1"/>
    <d v="2026-10-13T00:00:00"/>
    <s v="98119680"/>
    <s v="9821981109"/>
    <s v="10"/>
    <s v="122"/>
    <s v="Z27R"/>
    <s v="Z1"/>
    <s v="PC"/>
  </r>
  <r>
    <d v="2026-10-13T00:00:00"/>
    <s v="003"/>
    <s v="9295303174"/>
    <s v="1632"/>
    <s v="HASTE TP CLOCK CONTROL R 4,5L(ENTALHE)O"/>
    <n v="5000"/>
    <n v="1919"/>
    <n v="20000"/>
    <n v="14.9"/>
    <d v="2026-10-20T00:00:00"/>
    <x v="2"/>
    <s v="Z001"/>
    <s v="1632"/>
    <s v="2465749"/>
    <s v="PC"/>
    <x v="1"/>
    <d v="2026-10-13T00:00:00"/>
    <s v="98117974"/>
    <s v="9821968716"/>
    <s v="10"/>
    <s v="160"/>
    <s v="Z92R"/>
    <s v="Z2"/>
    <s v="PC"/>
  </r>
  <r>
    <d v="2026-10-13T00:00:00"/>
    <s v="001"/>
    <s v="2720019624"/>
    <s v="1632"/>
    <s v="ETIQ ENER./PROCEL 127V VE91 (RJ)"/>
    <n v="15600"/>
    <n v="1931"/>
    <n v="10000"/>
    <n v="26"/>
    <d v="2026-10-20T00:00:00"/>
    <x v="2"/>
    <s v="Z001"/>
    <s v="1632"/>
    <s v="2465762"/>
    <s v="PC"/>
    <x v="1"/>
    <d v="2026-10-13T00:00:00"/>
    <s v="98119680"/>
    <s v="9821981141"/>
    <s v="10"/>
    <s v="122"/>
    <s v="Z27R"/>
    <s v="Z2"/>
    <s v="PC"/>
  </r>
  <r>
    <d v="2026-10-14T00:00:00"/>
    <s v="001"/>
    <s v="2720019739"/>
    <s v="1632"/>
    <s v="TIGELA SX15 PLASTICA BRANCO - IBE"/>
    <n v="756"/>
    <n v="1984"/>
    <n v="6000"/>
    <n v="71"/>
    <d v="2026-10-21T00:00:00"/>
    <x v="2"/>
    <s v="Z001"/>
    <s v="1632"/>
    <s v="2465881"/>
    <s v="PC"/>
    <x v="1"/>
    <d v="2026-10-14T00:00:00"/>
    <s v="98117887"/>
    <s v="9821982605"/>
    <s v="10"/>
    <s v="PP8"/>
    <s v="Z27R"/>
    <s v="Z2"/>
    <s v="PC"/>
  </r>
  <r>
    <d v="2026-10-06T00:00:00"/>
    <s v="001"/>
    <s v="2720019741"/>
    <s v="1632"/>
    <s v="TIGELA SX15 (PR) - IBE"/>
    <n v="702"/>
    <n v="2180"/>
    <n v="0"/>
    <n v="71"/>
    <d v="2026-10-13T00:00:00"/>
    <x v="0"/>
    <s v="Z001"/>
    <s v="1632"/>
    <s v="2465180"/>
    <s v="PC"/>
    <x v="1"/>
    <d v="2026-10-06T00:00:00"/>
    <s v="98117887"/>
    <s v="9821979274"/>
    <s v="10"/>
    <s v="PP8"/>
    <s v="Z27R"/>
    <s v="Z2"/>
    <s v="PC"/>
  </r>
  <r>
    <d v="2026-10-08T00:00:00"/>
    <s v="001"/>
    <s v="2720019316"/>
    <s v="1632"/>
    <s v="FOLHETO INSTR/GARANT MP52/62/63/72"/>
    <n v="17000"/>
    <n v="2720"/>
    <n v="6000"/>
    <n v="55"/>
    <d v="2026-10-15T00:00:00"/>
    <x v="1"/>
    <s v="Z001"/>
    <s v="1632"/>
    <s v="2465433"/>
    <s v="PC"/>
    <x v="1"/>
    <d v="2026-10-08T00:00:00"/>
    <s v="98117862"/>
    <s v="9821979343"/>
    <s v="10"/>
    <s v="110"/>
    <s v="Z27R"/>
    <s v="Z2"/>
    <s v="PC"/>
  </r>
  <r>
    <d v="2026-10-06T00:00:00"/>
    <s v="001"/>
    <s v="2720019563"/>
    <s v="1632"/>
    <s v="ETIQ ENER./PROCEL 220V VE50 (RJ)"/>
    <n v="15400"/>
    <n v="3225"/>
    <n v="5000"/>
    <n v="999.9"/>
    <d v="2026-10-13T00:00:00"/>
    <x v="0"/>
    <s v="Z001"/>
    <s v="1632"/>
    <s v="2465118"/>
    <s v="PC"/>
    <x v="1"/>
    <d v="2026-10-06T00:00:00"/>
    <s v="98119680"/>
    <s v="9821978773"/>
    <s v="10"/>
    <s v="122"/>
    <s v="Z27R"/>
    <s v="Z2"/>
    <s v="PC"/>
  </r>
  <r>
    <d v="2026-10-13T00:00:00"/>
    <s v="001"/>
    <s v="2720018730"/>
    <s v="1632"/>
    <s v="ETIQ. ADES. INDIVIDUAL 220V LN50"/>
    <n v="6000"/>
    <n v="3377"/>
    <n v="2000"/>
    <n v="5.5"/>
    <d v="2026-10-20T00:00:00"/>
    <x v="2"/>
    <s v="Z001"/>
    <s v="1632"/>
    <s v="2465770"/>
    <s v="PC"/>
    <x v="1"/>
    <d v="2026-10-13T00:00:00"/>
    <s v="98119680"/>
    <s v="9821981122"/>
    <s v="10"/>
    <s v="122"/>
    <s v="Z27R"/>
    <s v="Z2"/>
    <s v="PC"/>
  </r>
  <r>
    <d v="2026-10-07T00:00:00"/>
    <s v="001"/>
    <s v="2720019235"/>
    <s v="1632"/>
    <s v="ETIQUETA DO CORPO LQ40"/>
    <n v="6122"/>
    <n v="4269"/>
    <n v="0"/>
    <n v="7.4"/>
    <d v="2026-10-14T00:00:00"/>
    <x v="0"/>
    <s v="Z001"/>
    <s v="1632"/>
    <s v="2465317"/>
    <s v="PC"/>
    <x v="1"/>
    <d v="2026-10-07T00:00:00"/>
    <s v="98121039"/>
    <s v="9821978362"/>
    <s v="10"/>
    <s v="110"/>
    <s v="Z27R"/>
    <s v="Z2"/>
    <s v="PC"/>
  </r>
  <r>
    <d v="2026-10-05T00:00:00"/>
    <s v="001"/>
    <s v="2720019632"/>
    <s v="1632"/>
    <s v="ETIQ ENER/PROCEL 127V VE2C/VD2C (RJ)"/>
    <n v="17600"/>
    <n v="5127"/>
    <n v="50000"/>
    <n v="0"/>
    <d v="2026-10-12T00:00:00"/>
    <x v="0"/>
    <s v="Z001"/>
    <s v="1632"/>
    <s v="2464974"/>
    <s v="PC"/>
    <x v="1"/>
    <d v="2026-10-05T00:00:00"/>
    <s v="98119680"/>
    <s v="9821978763"/>
    <s v="10"/>
    <s v="122"/>
    <s v="Z27R"/>
    <s v="Z2"/>
    <s v="PC"/>
  </r>
  <r>
    <d v="2026-10-05T00:00:00"/>
    <s v="001"/>
    <s v="2720019632"/>
    <s v="1632"/>
    <s v="ETIQ ENER/PROCEL 127V VE2C/VD2C (RJ)"/>
    <n v="27600"/>
    <n v="5127"/>
    <n v="50000"/>
    <n v="0"/>
    <d v="2026-10-12T00:00:00"/>
    <x v="0"/>
    <s v="Z001"/>
    <s v="1632"/>
    <s v="2464973"/>
    <s v="PC"/>
    <x v="1"/>
    <d v="2026-10-05T00:00:00"/>
    <s v="98119680"/>
    <s v="9821978252"/>
    <s v="10"/>
    <s v="122"/>
    <s v="Z27R"/>
    <s v="Z2"/>
    <s v="PC"/>
  </r>
  <r>
    <d v="2026-10-06T00:00:00"/>
    <s v="001"/>
    <s v="2720019632"/>
    <s v="1632"/>
    <s v="ETIQ ENER/PROCEL 127V VE2C/VD2C (RJ)"/>
    <n v="16600"/>
    <n v="5127"/>
    <n v="50000"/>
    <n v="0"/>
    <d v="2026-10-13T00:00:00"/>
    <x v="0"/>
    <s v="Z001"/>
    <s v="1632"/>
    <s v="2465119"/>
    <s v="PC"/>
    <x v="1"/>
    <d v="2026-10-06T00:00:00"/>
    <s v="98119680"/>
    <s v="9821978758"/>
    <s v="10"/>
    <s v="122"/>
    <s v="Z27R"/>
    <s v="Z2"/>
    <s v="PC"/>
  </r>
  <r>
    <d v="2026-10-13T00:00:00"/>
    <s v="002"/>
    <s v="2730019119"/>
    <s v="1632"/>
    <s v="DISCO REFLETOR VX10"/>
    <n v="3200"/>
    <n v="7403"/>
    <n v="10000"/>
    <n v="13.4"/>
    <d v="2026-10-20T00:00:00"/>
    <x v="2"/>
    <s v="Z001"/>
    <s v="1632"/>
    <s v="2465745"/>
    <s v="PC"/>
    <x v="1"/>
    <d v="2026-10-13T00:00:00"/>
    <s v="98117974"/>
    <s v="9821973527"/>
    <s v="10"/>
    <s v="160"/>
    <s v="Z27R"/>
    <s v="Z2"/>
    <s v="PC"/>
  </r>
  <r>
    <d v="2026-10-14T00:00:00"/>
    <s v="002"/>
    <s v="2730019119"/>
    <s v="1632"/>
    <s v="DISCO REFLETOR VX10"/>
    <n v="3200"/>
    <n v="7403"/>
    <n v="10000"/>
    <n v="13.4"/>
    <d v="2026-10-21T00:00:00"/>
    <x v="2"/>
    <s v="Z001"/>
    <s v="1632"/>
    <s v="2465961"/>
    <s v="PC"/>
    <x v="1"/>
    <d v="2026-10-14T00:00:00"/>
    <s v="98117974"/>
    <s v="9821973529"/>
    <s v="10"/>
    <s v="160"/>
    <s v="Z27R"/>
    <s v="Z2"/>
    <s v="PC"/>
  </r>
  <r>
    <d v="2026-10-01T00:00:00"/>
    <s v="001"/>
    <s v="2720019498"/>
    <s v="1632"/>
    <s v="CAIXA PAP INDIV. VE91 - LOJAS CEM"/>
    <n v="3915"/>
    <n v="7697"/>
    <n v="5000"/>
    <n v="49"/>
    <d v="2026-10-08T00:00:00"/>
    <x v="0"/>
    <s v="Z001"/>
    <s v="1632"/>
    <s v="2464545"/>
    <s v="PC"/>
    <x v="1"/>
    <d v="2026-10-01T00:00:00"/>
    <s v="98118312"/>
    <s v="9821967372"/>
    <s v="10"/>
    <s v="110"/>
    <s v="Z27R"/>
    <s v="Z2"/>
    <s v="PC"/>
  </r>
  <r>
    <d v="2026-10-05T00:00:00"/>
    <s v="001"/>
    <s v="2720019562"/>
    <s v="1632"/>
    <s v="ETIQ ENER./PROCEL 127V VE50 (RJ)"/>
    <n v="15200"/>
    <n v="7704"/>
    <n v="8000"/>
    <n v="71"/>
    <d v="2026-10-12T00:00:00"/>
    <x v="0"/>
    <s v="Z001"/>
    <s v="1632"/>
    <s v="2464969"/>
    <s v="PC"/>
    <x v="1"/>
    <d v="2026-10-05T00:00:00"/>
    <s v="98119680"/>
    <s v="9821976698"/>
    <s v="10"/>
    <s v="122"/>
    <s v="Z27R"/>
    <s v="Z2"/>
    <s v="PC"/>
  </r>
  <r>
    <d v="2026-10-05T00:00:00"/>
    <s v="001"/>
    <s v="2720019458"/>
    <s v="1632"/>
    <s v="ETIQ ADES INDIV 220V VE2C - HAVAN"/>
    <n v="6000"/>
    <n v="7937"/>
    <n v="6000"/>
    <n v="71"/>
    <d v="2026-10-12T00:00:00"/>
    <x v="0"/>
    <s v="Z001"/>
    <s v="1632"/>
    <s v="2464980"/>
    <s v="PC"/>
    <x v="1"/>
    <d v="2026-10-05T00:00:00"/>
    <s v="98119680"/>
    <s v="9821981135"/>
    <s v="10"/>
    <s v="122"/>
    <s v="Z27R"/>
    <s v="Z2"/>
    <s v="PC"/>
  </r>
  <r>
    <d v="2026-09-21T00:00:00"/>
    <s v="003"/>
    <s v="9295304413"/>
    <s v="1632"/>
    <s v="ANEL VED PPFI 7L CLOCK/ ROCHEDO SILICON"/>
    <n v="2100"/>
    <n v="7949"/>
    <n v="10000"/>
    <n v="64.599999999999994"/>
    <d v="2026-09-28T00:00:00"/>
    <x v="0"/>
    <s v="Z001"/>
    <s v="1632"/>
    <s v="2463180"/>
    <s v="PC"/>
    <x v="1"/>
    <d v="2026-09-21T00:00:00"/>
    <s v="98100091"/>
    <s v="9821973418"/>
    <s v="10"/>
    <s v="PP8"/>
    <s v="Z92R"/>
    <s v="Z2"/>
    <s v="PC"/>
  </r>
  <r>
    <d v="2026-09-23T00:00:00"/>
    <s v="003"/>
    <s v="9295304413"/>
    <s v="1632"/>
    <s v="ANEL VED PPFI 7L CLOCK/ ROCHEDO SILICON"/>
    <n v="1400"/>
    <n v="7949"/>
    <n v="10000"/>
    <n v="64.599999999999994"/>
    <d v="2026-09-30T00:00:00"/>
    <x v="0"/>
    <s v="Z001"/>
    <s v="1632"/>
    <s v="2463503"/>
    <s v="PC"/>
    <x v="1"/>
    <d v="2026-09-23T00:00:00"/>
    <s v="98100091"/>
    <s v="9821973418"/>
    <s v="10"/>
    <s v="PP8"/>
    <s v="Z92R"/>
    <s v="Z2"/>
    <s v="PC"/>
  </r>
  <r>
    <d v="2026-09-23T00:00:00"/>
    <s v="003"/>
    <s v="9295304413"/>
    <s v="1632"/>
    <s v="ANEL VED PPFI 7L CLOCK/ ROCHEDO SILICON"/>
    <n v="1400"/>
    <n v="7949"/>
    <n v="10000"/>
    <n v="64.599999999999994"/>
    <d v="2026-09-30T00:00:00"/>
    <x v="0"/>
    <s v="Z001"/>
    <s v="1632"/>
    <s v="2463501"/>
    <s v="PC"/>
    <x v="1"/>
    <d v="2026-09-23T00:00:00"/>
    <s v="98100091"/>
    <s v="9821973418"/>
    <s v="10"/>
    <s v="PP8"/>
    <s v="Z92R"/>
    <s v="Z2"/>
    <s v="PC"/>
  </r>
  <r>
    <d v="2026-09-29T00:00:00"/>
    <s v="003"/>
    <s v="9295304413"/>
    <s v="1632"/>
    <s v="ANEL VED PPFI 7L CLOCK/ ROCHEDO SILICON"/>
    <n v="2800"/>
    <n v="7949"/>
    <n v="10000"/>
    <n v="64.599999999999994"/>
    <d v="2026-10-06T00:00:00"/>
    <x v="0"/>
    <s v="Z001"/>
    <s v="1632"/>
    <s v="2464332"/>
    <s v="PC"/>
    <x v="1"/>
    <d v="2026-09-29T00:00:00"/>
    <s v="98100091"/>
    <s v="9821973418"/>
    <s v="10"/>
    <s v="PP8"/>
    <s v="Z92R"/>
    <s v="Z2"/>
    <s v="PC"/>
  </r>
  <r>
    <d v="2026-10-05T00:00:00"/>
    <s v="003"/>
    <s v="9295304413"/>
    <s v="1632"/>
    <s v="ANEL VED PPFI 7L CLOCK/ ROCHEDO SILICON"/>
    <n v="800"/>
    <n v="7949"/>
    <n v="10000"/>
    <n v="64.599999999999994"/>
    <d v="2026-10-12T00:00:00"/>
    <x v="0"/>
    <s v="Z001"/>
    <s v="1632"/>
    <s v="2464847"/>
    <s v="PC"/>
    <x v="1"/>
    <d v="2026-10-05T00:00:00"/>
    <s v="98100091"/>
    <s v="9821961125"/>
    <s v="10"/>
    <s v="PP8"/>
    <s v="Z92R"/>
    <s v="Z2"/>
    <s v="PC"/>
  </r>
  <r>
    <d v="2026-10-05T00:00:00"/>
    <s v="003"/>
    <s v="9295304413"/>
    <s v="1632"/>
    <s v="ANEL VED PPFI 7L CLOCK/ ROCHEDO SILICON"/>
    <n v="2800"/>
    <n v="7949"/>
    <n v="10000"/>
    <n v="64.599999999999994"/>
    <d v="2026-10-12T00:00:00"/>
    <x v="0"/>
    <s v="Z001"/>
    <s v="1632"/>
    <s v="2464850"/>
    <s v="PC"/>
    <x v="1"/>
    <d v="2026-10-05T00:00:00"/>
    <s v="98100091"/>
    <s v="9821973418"/>
    <s v="10"/>
    <s v="PP8"/>
    <s v="Z92R"/>
    <s v="Z2"/>
    <s v="PC"/>
  </r>
  <r>
    <d v="2026-09-02T00:00:00"/>
    <s v="001"/>
    <s v="2720019456"/>
    <s v="1632"/>
    <s v="CAIXA PAP INDIV VE2C - HAVAN"/>
    <n v="1125"/>
    <n v="8753"/>
    <n v="7000"/>
    <n v="37"/>
    <d v="2026-09-09T00:00:00"/>
    <x v="0"/>
    <s v="Z001"/>
    <s v="1632"/>
    <s v="2461514"/>
    <s v="PC"/>
    <x v="2"/>
    <d v="2026-09-02T00:00:00"/>
    <s v="98118312"/>
    <s v="9821967377"/>
    <s v="10"/>
    <s v="110"/>
    <s v="Z27R"/>
    <s v="Z2"/>
    <s v="PC"/>
  </r>
  <r>
    <d v="2026-10-01T00:00:00"/>
    <s v="001"/>
    <s v="2720018809"/>
    <s v="1632"/>
    <s v="CORDAO PLUGUE/TERM 0,75 (PR) COL"/>
    <n v="1000"/>
    <n v="9747"/>
    <n v="10000"/>
    <n v="189"/>
    <d v="2026-10-08T00:00:00"/>
    <x v="0"/>
    <s v="Z001"/>
    <s v="1632"/>
    <s v="2464547"/>
    <s v="PC"/>
    <x v="1"/>
    <d v="2026-10-01T00:00:00"/>
    <s v="10000071"/>
    <s v="9821967206"/>
    <s v="10"/>
    <s v="130"/>
    <s v="Z27R"/>
    <s v="Z2"/>
    <s v="PC"/>
  </r>
  <r>
    <d v="2026-10-09T00:00:00"/>
    <s v="001"/>
    <s v="2720018809"/>
    <s v="1632"/>
    <s v="CORDAO PLUGUE/TERM 0,75 (PR) COL"/>
    <n v="400"/>
    <n v="9747"/>
    <n v="10000"/>
    <n v="189"/>
    <d v="2026-10-16T00:00:00"/>
    <x v="3"/>
    <s v="Z001"/>
    <s v="1632"/>
    <s v="2465715"/>
    <s v="PC"/>
    <x v="1"/>
    <d v="2026-10-09T00:00:00"/>
    <s v="10000071"/>
    <s v="9821967206"/>
    <s v="10"/>
    <s v="130"/>
    <s v="Z27R"/>
    <s v="Z2"/>
    <s v="PC"/>
  </r>
  <r>
    <d v="2026-10-05T00:00:00"/>
    <s v="001"/>
    <s v="2720019309"/>
    <s v="1632"/>
    <s v="ETIQ. ADES GUIA RÁPIDO MULTICHEF"/>
    <n v="11000"/>
    <n v="10189"/>
    <n v="5000"/>
    <n v="77"/>
    <d v="2026-10-12T00:00:00"/>
    <x v="0"/>
    <s v="Z001"/>
    <s v="1632"/>
    <s v="2464967"/>
    <s v="PC"/>
    <x v="1"/>
    <d v="2026-10-05T00:00:00"/>
    <s v="98119680"/>
    <s v="9821976691"/>
    <s v="10"/>
    <s v="122"/>
    <s v="Z27R"/>
    <s v="Z2"/>
    <s v="PC"/>
  </r>
  <r>
    <d v="2026-10-09T00:00:00"/>
    <s v="004"/>
    <s v="9295303424"/>
    <s v="1632"/>
    <s v="HASTE TP CLOCK CONTROL 7,0L (ENTALHE OB"/>
    <n v="1700"/>
    <n v="10244"/>
    <n v="10000"/>
    <n v="91.3"/>
    <d v="2026-10-16T00:00:00"/>
    <x v="3"/>
    <s v="Z001"/>
    <s v="1632"/>
    <s v="2465578"/>
    <s v="PC"/>
    <x v="1"/>
    <d v="2026-10-09T00:00:00"/>
    <s v="98117974"/>
    <s v="9821973536"/>
    <s v="10"/>
    <s v="160"/>
    <s v="Z92R"/>
    <s v="Z2"/>
    <s v="PC"/>
  </r>
  <r>
    <d v="2026-10-09T00:00:00"/>
    <s v="004"/>
    <s v="9295303424"/>
    <s v="1632"/>
    <s v="HASTE TP CLOCK CONTROL 7,0L (ENTALHE OB"/>
    <n v="4600"/>
    <n v="10244"/>
    <n v="10000"/>
    <n v="91.3"/>
    <d v="2026-10-16T00:00:00"/>
    <x v="3"/>
    <s v="Z001"/>
    <s v="1632"/>
    <s v="2465574"/>
    <s v="PC"/>
    <x v="1"/>
    <d v="2026-10-09T00:00:00"/>
    <s v="98117974"/>
    <s v="9821973535"/>
    <s v="10"/>
    <s v="160"/>
    <s v="Z92R"/>
    <s v="Z2"/>
    <s v="PC"/>
  </r>
  <r>
    <d v="2026-10-08T00:00:00"/>
    <s v="001"/>
    <s v="2720019691"/>
    <s v="1632"/>
    <s v="FOLHETO INSTRUÇÃO/GARANTIA LQ10/11/12"/>
    <n v="16190"/>
    <n v="10941"/>
    <n v="16000"/>
    <n v="11.7"/>
    <d v="2026-10-15T00:00:00"/>
    <x v="1"/>
    <s v="Z001"/>
    <s v="1632"/>
    <s v="2465450"/>
    <s v="PC"/>
    <x v="1"/>
    <d v="2026-10-08T00:00:00"/>
    <s v="98117862"/>
    <s v="9821981082"/>
    <s v="10"/>
    <s v="110"/>
    <s v="Z27R"/>
    <s v="Z2"/>
    <s v="PC"/>
  </r>
  <r>
    <d v="2026-10-06T00:00:00"/>
    <s v="001"/>
    <s v="2720018446"/>
    <s v="1632"/>
    <s v=". MOTOR VE60 POWER PI7520 3V 127V AL PO"/>
    <n v="21600"/>
    <n v="11880"/>
    <n v="0"/>
    <n v="999.9"/>
    <d v="2026-10-13T00:00:00"/>
    <x v="0"/>
    <s v="Z001"/>
    <s v="1632"/>
    <s v="2465185"/>
    <s v="PC"/>
    <x v="1"/>
    <d v="2026-10-06T00:00:00"/>
    <s v="99003700"/>
    <s v="9821952465"/>
    <s v="10"/>
    <s v="140"/>
    <s v="Z27R"/>
    <s v="Z2"/>
    <s v="PC"/>
  </r>
  <r>
    <d v="2026-10-05T00:00:00"/>
    <s v="003"/>
    <s v="9295306921"/>
    <s v="1632"/>
    <s v="PINO LISO PPFI ROCHEDO TURBO"/>
    <n v="20000"/>
    <n v="12678"/>
    <n v="5000"/>
    <n v="999.9"/>
    <d v="2026-10-12T00:00:00"/>
    <x v="0"/>
    <s v="Z001"/>
    <s v="1632"/>
    <s v="2464845"/>
    <s v="PC"/>
    <x v="1"/>
    <d v="2026-10-05T00:00:00"/>
    <s v="98118454"/>
    <s v="9821969426"/>
    <s v="10"/>
    <s v="160"/>
    <s v="Z92R"/>
    <s v="Z2"/>
    <s v="PC"/>
  </r>
  <r>
    <d v="2026-10-13T00:00:00"/>
    <s v="003"/>
    <s v="9201512661"/>
    <s v="1632"/>
    <s v="HASTE TP ROCH TURBO 4,5/ 7,0L POL(CROMO"/>
    <n v="400"/>
    <n v="13655"/>
    <n v="10000"/>
    <n v="999.9"/>
    <d v="2026-10-20T00:00:00"/>
    <x v="2"/>
    <s v="Z001"/>
    <s v="1632"/>
    <s v="2465741"/>
    <s v="PC"/>
    <x v="1"/>
    <d v="2026-10-13T00:00:00"/>
    <s v="98117974"/>
    <s v="9821967277"/>
    <s v="10"/>
    <s v="160"/>
    <s v="Z92R"/>
    <s v="Z2"/>
    <s v="PC"/>
  </r>
  <r>
    <d v="2026-10-13T00:00:00"/>
    <s v="003"/>
    <s v="9201512661"/>
    <s v="1632"/>
    <s v="HASTE TP ROCH TURBO 4,5/ 7,0L POL(CROMO"/>
    <n v="3800"/>
    <n v="13655"/>
    <n v="10000"/>
    <n v="999.9"/>
    <d v="2026-10-20T00:00:00"/>
    <x v="2"/>
    <s v="Z001"/>
    <s v="1632"/>
    <s v="2465737"/>
    <s v="PC"/>
    <x v="1"/>
    <d v="2026-10-13T00:00:00"/>
    <s v="98117974"/>
    <s v="9821967277"/>
    <s v="10"/>
    <s v="160"/>
    <s v="Z92R"/>
    <s v="Z2"/>
    <s v="PC"/>
  </r>
  <r>
    <d v="2026-10-09T00:00:00"/>
    <s v="001"/>
    <s v="2720017474"/>
    <s v="1632"/>
    <s v="CORDAO PLUG TERM0,5 VE7C (PR-RJ)"/>
    <n v="3060"/>
    <n v="14294"/>
    <n v="30000"/>
    <n v="15"/>
    <d v="2026-10-16T00:00:00"/>
    <x v="3"/>
    <s v="Z001"/>
    <s v="1632"/>
    <s v="2465714"/>
    <s v="PC"/>
    <x v="1"/>
    <d v="2026-10-09T00:00:00"/>
    <s v="10000071"/>
    <s v="9821967205"/>
    <s v="10"/>
    <s v="130"/>
    <s v="Z27R"/>
    <s v="Z2"/>
    <s v="PC"/>
  </r>
  <r>
    <d v="2026-10-14T00:00:00"/>
    <s v="001"/>
    <s v="2720017474"/>
    <s v="1632"/>
    <s v="CORDAO PLUG TERM0,5 VE7C (PR-RJ)"/>
    <n v="5760"/>
    <n v="14294"/>
    <n v="30000"/>
    <n v="15"/>
    <d v="2026-10-21T00:00:00"/>
    <x v="2"/>
    <s v="Z001"/>
    <s v="1632"/>
    <s v="2465987"/>
    <s v="PC"/>
    <x v="1"/>
    <d v="2026-10-14T00:00:00"/>
    <s v="10000071"/>
    <s v="9821969365"/>
    <s v="10"/>
    <s v="130"/>
    <s v="Z27R"/>
    <s v="Z2"/>
    <s v="PC"/>
  </r>
  <r>
    <d v="2026-10-14T00:00:00"/>
    <s v="001"/>
    <s v="2720017474"/>
    <s v="1632"/>
    <s v="CORDAO PLUG TERM0,5 VE7C (PR-RJ)"/>
    <n v="2160"/>
    <n v="14294"/>
    <n v="30000"/>
    <n v="15"/>
    <d v="2026-10-21T00:00:00"/>
    <x v="2"/>
    <s v="Z001"/>
    <s v="1632"/>
    <s v="2465981"/>
    <s v="PC"/>
    <x v="1"/>
    <d v="2026-10-14T00:00:00"/>
    <s v="10000071"/>
    <s v="9821969365"/>
    <s v="10"/>
    <s v="130"/>
    <s v="Z27R"/>
    <s v="Z2"/>
    <s v="PC"/>
  </r>
  <r>
    <d v="2026-10-05T00:00:00"/>
    <s v="001"/>
    <s v="2720019631"/>
    <s v="1632"/>
    <s v="ETIQ ENER/PROCEL 220V VE2E/VD2E (RJ)"/>
    <n v="15400"/>
    <n v="14400"/>
    <n v="30000"/>
    <n v="11.9"/>
    <d v="2026-10-12T00:00:00"/>
    <x v="0"/>
    <s v="Z001"/>
    <s v="1632"/>
    <s v="2464972"/>
    <s v="PC"/>
    <x v="1"/>
    <d v="2026-10-05T00:00:00"/>
    <s v="98119680"/>
    <s v="9821978255"/>
    <s v="10"/>
    <s v="122"/>
    <s v="Z27R"/>
    <s v="Z2"/>
    <s v="PC"/>
  </r>
  <r>
    <d v="2026-10-13T00:00:00"/>
    <s v="001"/>
    <s v="2720019631"/>
    <s v="1632"/>
    <s v="ETIQ ENER/PROCEL 220V VE2E/VD2E (RJ)"/>
    <n v="37000"/>
    <n v="14400"/>
    <n v="30000"/>
    <n v="11.9"/>
    <d v="2026-10-20T00:00:00"/>
    <x v="2"/>
    <s v="Z001"/>
    <s v="1632"/>
    <s v="2465764"/>
    <s v="PC"/>
    <x v="1"/>
    <d v="2026-10-13T00:00:00"/>
    <s v="98119680"/>
    <s v="9821981116"/>
    <s v="10"/>
    <s v="122"/>
    <s v="Z27R"/>
    <s v="Z2"/>
    <s v="PC"/>
  </r>
  <r>
    <d v="2026-10-13T00:00:00"/>
    <s v="001"/>
    <s v="2720019267"/>
    <s v="1632"/>
    <s v="CAIXA PAP INDIV VE2E (RJ)"/>
    <n v="3750"/>
    <n v="16022"/>
    <n v="20000"/>
    <n v="5.2"/>
    <d v="2026-10-20T00:00:00"/>
    <x v="2"/>
    <s v="Z001"/>
    <s v="1632"/>
    <s v="2465748"/>
    <s v="PC"/>
    <x v="1"/>
    <d v="2026-10-13T00:00:00"/>
    <s v="98118312"/>
    <s v="9821979271"/>
    <s v="10"/>
    <s v="110"/>
    <s v="Z27R"/>
    <s v="Z2"/>
    <s v="PC"/>
  </r>
  <r>
    <d v="2026-10-14T00:00:00"/>
    <s v="001"/>
    <s v="2720019267"/>
    <s v="1632"/>
    <s v="CAIXA PAP INDIV VE2E (RJ)"/>
    <n v="3780"/>
    <n v="16022"/>
    <n v="20000"/>
    <n v="5.2"/>
    <d v="2026-10-21T00:00:00"/>
    <x v="2"/>
    <s v="Z001"/>
    <s v="1632"/>
    <s v="2465963"/>
    <s v="PC"/>
    <x v="1"/>
    <d v="2026-10-14T00:00:00"/>
    <s v="98118312"/>
    <s v="9821980907"/>
    <s v="10"/>
    <s v="110"/>
    <s v="Z27R"/>
    <s v="Z2"/>
    <s v="PC"/>
  </r>
  <r>
    <d v="2026-10-14T00:00:00"/>
    <s v="001"/>
    <s v="2720019267"/>
    <s v="1632"/>
    <s v="CAIXA PAP INDIV VE2E (RJ)"/>
    <n v="3780"/>
    <n v="16022"/>
    <n v="20000"/>
    <n v="5.2"/>
    <d v="2026-10-21T00:00:00"/>
    <x v="2"/>
    <s v="Z001"/>
    <s v="1632"/>
    <s v="2465962"/>
    <s v="PC"/>
    <x v="1"/>
    <d v="2026-10-14T00:00:00"/>
    <s v="98118312"/>
    <s v="9821980907"/>
    <s v="10"/>
    <s v="110"/>
    <s v="Z27R"/>
    <s v="Z2"/>
    <s v="PC"/>
  </r>
  <r>
    <d v="2026-10-13T00:00:00"/>
    <s v="001"/>
    <s v="2720019630"/>
    <s v="1632"/>
    <s v="ETIQ ENER/PROCEL 127V VE2E/VD2E (RJ)"/>
    <n v="15000"/>
    <n v="16270"/>
    <n v="40000"/>
    <n v="5.4"/>
    <d v="2026-10-20T00:00:00"/>
    <x v="2"/>
    <s v="Z001"/>
    <s v="1632"/>
    <s v="2465765"/>
    <s v="PC"/>
    <x v="1"/>
    <d v="2026-10-13T00:00:00"/>
    <s v="98119680"/>
    <s v="9821982350"/>
    <s v="10"/>
    <s v="122"/>
    <s v="Z27R"/>
    <s v="Z2"/>
    <s v="PC"/>
  </r>
  <r>
    <d v="2026-10-13T00:00:00"/>
    <s v="001"/>
    <s v="2720019630"/>
    <s v="1632"/>
    <s v="ETIQ ENER/PROCEL 127V VE2E/VD2E (RJ)"/>
    <n v="47000"/>
    <n v="16270"/>
    <n v="40000"/>
    <n v="5.4"/>
    <d v="2026-10-20T00:00:00"/>
    <x v="2"/>
    <s v="Z001"/>
    <s v="1632"/>
    <s v="2465763"/>
    <s v="PC"/>
    <x v="1"/>
    <d v="2026-10-13T00:00:00"/>
    <s v="98119680"/>
    <s v="9821981112"/>
    <s v="10"/>
    <s v="122"/>
    <s v="Z27R"/>
    <s v="Z2"/>
    <s v="PC"/>
  </r>
  <r>
    <d v="2026-10-14T00:00:00"/>
    <s v="002"/>
    <s v="2730018508"/>
    <s v="1632"/>
    <s v="MOLA TRAVA DO GLOBO VX10"/>
    <n v="8000"/>
    <n v="17425"/>
    <n v="40000"/>
    <n v="2.6"/>
    <d v="2026-10-21T00:00:00"/>
    <x v="2"/>
    <s v="Z001"/>
    <s v="1632"/>
    <s v="2465960"/>
    <s v="PC"/>
    <x v="1"/>
    <d v="2026-10-14T00:00:00"/>
    <s v="98117974"/>
    <s v="9821973526"/>
    <s v="10"/>
    <s v="160"/>
    <s v="Z27R"/>
    <s v="Z2"/>
    <s v="PC"/>
  </r>
  <r>
    <d v="2026-10-13T00:00:00"/>
    <s v="000"/>
    <s v="2720019638"/>
    <s v="1632"/>
    <s v="CALCO PAP VF40 (BENEF. EXTERNO)"/>
    <n v="880"/>
    <n v="17767"/>
    <n v="100"/>
    <n v="999.9"/>
    <d v="2026-10-20T00:00:00"/>
    <x v="2"/>
    <s v="Z001"/>
    <s v="1632"/>
    <s v="2465750"/>
    <s v="PC"/>
    <x v="1"/>
    <d v="2026-10-13T00:00:00"/>
    <s v="98118942"/>
    <s v="9821971378"/>
    <s v="10"/>
    <s v="110"/>
    <s v="Z27R"/>
    <s v="Z2"/>
    <s v="PC"/>
  </r>
  <r>
    <d v="2026-10-14T00:00:00"/>
    <s v="001"/>
    <s v="2730022248"/>
    <s v="1632"/>
    <s v="CORDAO PLUG TERM 0,5 VF30/VF40  (PR)"/>
    <n v="5760"/>
    <n v="21321"/>
    <n v="80000"/>
    <n v="10.9"/>
    <d v="2026-10-21T00:00:00"/>
    <x v="2"/>
    <s v="Z001"/>
    <s v="1632"/>
    <s v="2465982"/>
    <s v="PC"/>
    <x v="1"/>
    <d v="2026-10-14T00:00:00"/>
    <s v="10000071"/>
    <s v="9821964326"/>
    <s v="10"/>
    <s v="130"/>
    <s v="Z27R"/>
    <s v="Z2"/>
    <s v="PC"/>
  </r>
  <r>
    <d v="2026-10-14T00:00:00"/>
    <s v="001"/>
    <s v="2730022248"/>
    <s v="1632"/>
    <s v="CORDAO PLUG TERM 0,5 VF30/VF40  (PR)"/>
    <n v="7380"/>
    <n v="21321"/>
    <n v="80000"/>
    <n v="10.9"/>
    <d v="2026-10-21T00:00:00"/>
    <x v="2"/>
    <s v="Z001"/>
    <s v="1632"/>
    <s v="2465988"/>
    <s v="PC"/>
    <x v="1"/>
    <d v="2026-10-14T00:00:00"/>
    <s v="10000071"/>
    <s v="9821964326"/>
    <s v="10"/>
    <s v="130"/>
    <s v="Z27R"/>
    <s v="Z2"/>
    <s v="PC"/>
  </r>
  <r>
    <d v="2026-10-14T00:00:00"/>
    <s v="001"/>
    <s v="2720019361"/>
    <s v="1632"/>
    <s v="CAIXA PAP INDIV VD2C (RJ)"/>
    <n v="3780"/>
    <n v="24745"/>
    <n v="3000"/>
    <n v="55"/>
    <d v="2026-10-21T00:00:00"/>
    <x v="2"/>
    <s v="Z001"/>
    <s v="1632"/>
    <s v="2465877"/>
    <s v="PC"/>
    <x v="1"/>
    <d v="2026-10-14T00:00:00"/>
    <s v="98118312"/>
    <s v="9821977123"/>
    <s v="10"/>
    <s v="110"/>
    <s v="Z27R"/>
    <s v="Z2"/>
    <s v="PC"/>
  </r>
  <r>
    <d v="2026-10-07T00:00:00"/>
    <s v="001"/>
    <s v="2720019355"/>
    <s v="1632"/>
    <s v="CAIXA PAP INDIV VD2E (RJ)"/>
    <n v="2490"/>
    <n v="25106"/>
    <n v="20000"/>
    <n v="26"/>
    <d v="2026-10-14T00:00:00"/>
    <x v="0"/>
    <s v="Z001"/>
    <s v="1632"/>
    <s v="2465251"/>
    <s v="PC"/>
    <x v="1"/>
    <d v="2026-10-07T00:00:00"/>
    <s v="98118312"/>
    <s v="9821977126"/>
    <s v="10"/>
    <s v="110"/>
    <s v="Z27R"/>
    <s v="Z2"/>
    <s v="PC"/>
  </r>
  <r>
    <d v="2026-10-07T00:00:00"/>
    <s v="001"/>
    <s v="2720019355"/>
    <s v="1632"/>
    <s v="CAIXA PAP INDIV VD2E (RJ)"/>
    <n v="3780"/>
    <n v="25106"/>
    <n v="20000"/>
    <n v="26"/>
    <d v="2026-10-14T00:00:00"/>
    <x v="0"/>
    <s v="Z001"/>
    <s v="1632"/>
    <s v="2465280"/>
    <s v="PC"/>
    <x v="1"/>
    <d v="2026-10-07T00:00:00"/>
    <s v="98118312"/>
    <s v="9821977126"/>
    <s v="10"/>
    <s v="110"/>
    <s v="Z27R"/>
    <s v="Z2"/>
    <s v="PC"/>
  </r>
  <r>
    <d v="2026-10-13T00:00:00"/>
    <s v="001"/>
    <s v="2720019355"/>
    <s v="1632"/>
    <s v="CAIXA PAP INDIV VD2E (RJ)"/>
    <n v="3780"/>
    <n v="25106"/>
    <n v="20000"/>
    <n v="26"/>
    <d v="2026-10-20T00:00:00"/>
    <x v="2"/>
    <s v="Z001"/>
    <s v="1632"/>
    <s v="2465747"/>
    <s v="PC"/>
    <x v="1"/>
    <d v="2026-10-13T00:00:00"/>
    <s v="98118312"/>
    <s v="9821977126"/>
    <s v="10"/>
    <s v="110"/>
    <s v="Z27R"/>
    <s v="Z2"/>
    <s v="PC"/>
  </r>
  <r>
    <d v="2026-10-08T00:00:00"/>
    <s v="003"/>
    <s v="2720017635"/>
    <s v="1632"/>
    <s v="CJ EIXO+FACA 3LAM+VRING LN81/LN82"/>
    <n v="4032"/>
    <n v="29434"/>
    <n v="25000"/>
    <n v="14.3"/>
    <d v="2026-10-15T00:00:00"/>
    <x v="1"/>
    <s v="Z001"/>
    <s v="1632"/>
    <s v="2465611"/>
    <s v="PC"/>
    <x v="1"/>
    <d v="2026-10-08T00:00:00"/>
    <s v="98117974"/>
    <s v="9821969712"/>
    <s v="10"/>
    <s v="160"/>
    <s v="Z27R"/>
    <s v="Z2"/>
    <s v="PC"/>
  </r>
  <r>
    <d v="2026-10-09T00:00:00"/>
    <s v="003"/>
    <s v="2720017635"/>
    <s v="1632"/>
    <s v="CJ EIXO+FACA 3LAM+VRING LN81/LN82"/>
    <n v="5184"/>
    <n v="29434"/>
    <n v="25000"/>
    <n v="14.3"/>
    <d v="2026-10-16T00:00:00"/>
    <x v="3"/>
    <s v="Z001"/>
    <s v="1632"/>
    <s v="2465575"/>
    <s v="PC"/>
    <x v="1"/>
    <d v="2026-10-09T00:00:00"/>
    <s v="98117974"/>
    <s v="9821969712"/>
    <s v="10"/>
    <s v="160"/>
    <s v="Z27R"/>
    <s v="Z2"/>
    <s v="PC"/>
  </r>
  <r>
    <d v="2026-10-13T00:00:00"/>
    <s v="003"/>
    <s v="2720017635"/>
    <s v="1632"/>
    <s v="CJ EIXO+FACA 3LAM+VRING LN81/LN82"/>
    <n v="10080"/>
    <n v="29434"/>
    <n v="25000"/>
    <n v="14.3"/>
    <d v="2026-10-20T00:00:00"/>
    <x v="2"/>
    <s v="Z001"/>
    <s v="1632"/>
    <s v="2465738"/>
    <s v="PC"/>
    <x v="1"/>
    <d v="2026-10-13T00:00:00"/>
    <s v="98117974"/>
    <s v="9821969712"/>
    <s v="10"/>
    <s v="160"/>
    <s v="Z27R"/>
    <s v="Z2"/>
    <s v="PC"/>
  </r>
  <r>
    <d v="2026-10-14T00:00:00"/>
    <s v="003"/>
    <s v="2720017635"/>
    <s v="1632"/>
    <s v="CJ EIXO+FACA 3LAM+VRING LN81/LN82"/>
    <n v="5184"/>
    <n v="29434"/>
    <n v="25000"/>
    <n v="14.3"/>
    <d v="2026-10-21T00:00:00"/>
    <x v="2"/>
    <s v="Z001"/>
    <s v="1632"/>
    <s v="2465871"/>
    <s v="PC"/>
    <x v="1"/>
    <d v="2026-10-14T00:00:00"/>
    <s v="98117974"/>
    <s v="9821969712"/>
    <s v="10"/>
    <s v="160"/>
    <s v="Z27R"/>
    <s v="Z2"/>
    <s v="PC"/>
  </r>
  <r>
    <d v="2026-10-13T00:00:00"/>
    <s v="001"/>
    <s v="2720017389"/>
    <s v="1632"/>
    <s v=". MOTOR VE90 220V 3V 7525 AL PCB LS PO"/>
    <n v="16800"/>
    <n v="33092"/>
    <n v="0"/>
    <n v="37"/>
    <d v="2026-10-20T00:00:00"/>
    <x v="2"/>
    <s v="Z001"/>
    <s v="1632"/>
    <s v="2465782"/>
    <s v="PC"/>
    <x v="1"/>
    <d v="2026-10-13T00:00:00"/>
    <s v="99003700"/>
    <s v="9821961946"/>
    <s v="10"/>
    <s v="140"/>
    <s v="Z27R"/>
    <s v="Z2"/>
    <s v="PC"/>
  </r>
  <r>
    <d v="2026-10-01T00:00:00"/>
    <s v="002"/>
    <s v="2720018720"/>
    <s v="1632"/>
    <s v="CJ EIXO FACAS L PMIX LQ18"/>
    <n v="10080"/>
    <n v="34337"/>
    <n v="40000"/>
    <n v="14.6"/>
    <d v="2026-10-08T00:00:00"/>
    <x v="0"/>
    <s v="Z001"/>
    <s v="1632"/>
    <s v="2464538"/>
    <s v="PC"/>
    <x v="1"/>
    <d v="2026-10-01T00:00:00"/>
    <s v="98117974"/>
    <s v="9821973530"/>
    <s v="10"/>
    <s v="160"/>
    <s v="Z27R"/>
    <s v="Z2"/>
    <s v="PC"/>
  </r>
  <r>
    <d v="2026-10-13T00:00:00"/>
    <s v="002"/>
    <s v="2720018720"/>
    <s v="1632"/>
    <s v="CJ EIXO FACAS L PMIX LQ18"/>
    <n v="4704"/>
    <n v="34337"/>
    <n v="40000"/>
    <n v="14.6"/>
    <d v="2026-10-20T00:00:00"/>
    <x v="2"/>
    <s v="Z001"/>
    <s v="1632"/>
    <s v="2465739"/>
    <s v="PC"/>
    <x v="1"/>
    <d v="2026-10-13T00:00:00"/>
    <s v="98117974"/>
    <s v="9821973531"/>
    <s v="10"/>
    <s v="160"/>
    <s v="Z27R"/>
    <s v="Z2"/>
    <s v="PC"/>
  </r>
  <r>
    <d v="2026-10-13T00:00:00"/>
    <s v="002"/>
    <s v="2720018720"/>
    <s v="1632"/>
    <s v="CJ EIXO FACAS L PMIX LQ18"/>
    <n v="3360"/>
    <n v="34337"/>
    <n v="40000"/>
    <n v="14.6"/>
    <d v="2026-10-20T00:00:00"/>
    <x v="2"/>
    <s v="Z001"/>
    <s v="1632"/>
    <s v="2465742"/>
    <s v="PC"/>
    <x v="1"/>
    <d v="2026-10-13T00:00:00"/>
    <s v="98117974"/>
    <s v="9821973531"/>
    <s v="10"/>
    <s v="160"/>
    <s v="Z27R"/>
    <s v="Z2"/>
    <s v="PC"/>
  </r>
  <r>
    <d v="2026-10-01T00:00:00"/>
    <s v="002"/>
    <s v="2720019137"/>
    <s v="1632"/>
    <s v="CONJ EIXO C/ FACAS+VRING LQ10"/>
    <n v="10368"/>
    <n v="37140"/>
    <n v="50000"/>
    <n v="54.1"/>
    <d v="2026-10-08T00:00:00"/>
    <x v="0"/>
    <s v="Z001"/>
    <s v="1632"/>
    <s v="2464533"/>
    <s v="PC"/>
    <x v="1"/>
    <d v="2026-10-01T00:00:00"/>
    <s v="98117974"/>
    <s v="9821968715"/>
    <s v="10"/>
    <s v="160"/>
    <s v="Z27R"/>
    <s v="Z2"/>
    <s v="PC"/>
  </r>
  <r>
    <d v="2026-10-07T00:00:00"/>
    <s v="002"/>
    <s v="2720019137"/>
    <s v="1632"/>
    <s v="CONJ EIXO C/ FACAS+VRING LQ10"/>
    <n v="5184"/>
    <n v="37140"/>
    <n v="50000"/>
    <n v="54.1"/>
    <d v="2026-10-14T00:00:00"/>
    <x v="0"/>
    <s v="Z001"/>
    <s v="1632"/>
    <s v="2465197"/>
    <s v="PC"/>
    <x v="1"/>
    <d v="2026-10-07T00:00:00"/>
    <s v="98117974"/>
    <s v="9821968715"/>
    <s v="10"/>
    <s v="160"/>
    <s v="Z27R"/>
    <s v="Z2"/>
    <s v="PC"/>
  </r>
  <r>
    <d v="2026-10-08T00:00:00"/>
    <s v="002"/>
    <s v="2720019137"/>
    <s v="1632"/>
    <s v="CONJ EIXO C/ FACAS+VRING LQ10"/>
    <n v="6624"/>
    <n v="37140"/>
    <n v="50000"/>
    <n v="54.1"/>
    <d v="2026-10-15T00:00:00"/>
    <x v="1"/>
    <s v="Z001"/>
    <s v="1632"/>
    <s v="2465605"/>
    <s v="PC"/>
    <x v="1"/>
    <d v="2026-10-08T00:00:00"/>
    <s v="98117974"/>
    <s v="9821970628"/>
    <s v="10"/>
    <s v="160"/>
    <s v="Z27R"/>
    <s v="Z2"/>
    <s v="PC"/>
  </r>
  <r>
    <d v="2026-10-06T00:00:00"/>
    <s v="001"/>
    <s v="2720017472"/>
    <s v="1632"/>
    <s v="CORDAO PLUG TERM0,5 VE70 (PR-RJ)"/>
    <n v="2600"/>
    <n v="38008"/>
    <n v="100000"/>
    <n v="10.199999999999999"/>
    <d v="2026-10-13T00:00:00"/>
    <x v="0"/>
    <s v="Z001"/>
    <s v="1632"/>
    <s v="2465072"/>
    <s v="PC"/>
    <x v="1"/>
    <d v="2026-10-06T00:00:00"/>
    <s v="10000071"/>
    <s v="9821967208"/>
    <s v="10"/>
    <s v="130"/>
    <s v="Z27R"/>
    <s v="Z2"/>
    <s v="PC"/>
  </r>
  <r>
    <d v="2026-10-06T00:00:00"/>
    <s v="001"/>
    <s v="2720017472"/>
    <s v="1632"/>
    <s v="CORDAO PLUG TERM0,5 VE70 (PR-RJ)"/>
    <n v="1600"/>
    <n v="38008"/>
    <n v="100000"/>
    <n v="10.199999999999999"/>
    <d v="2026-10-13T00:00:00"/>
    <x v="0"/>
    <s v="Z001"/>
    <s v="1632"/>
    <s v="2465074"/>
    <s v="PC"/>
    <x v="1"/>
    <d v="2026-10-06T00:00:00"/>
    <s v="10000071"/>
    <s v="9821967208"/>
    <s v="10"/>
    <s v="130"/>
    <s v="Z27R"/>
    <s v="Z2"/>
    <s v="PC"/>
  </r>
  <r>
    <d v="2026-10-09T00:00:00"/>
    <s v="001"/>
    <s v="2720017472"/>
    <s v="1632"/>
    <s v="CORDAO PLUG TERM0,5 VE70 (PR-RJ)"/>
    <n v="5000"/>
    <n v="38008"/>
    <n v="100000"/>
    <n v="10.199999999999999"/>
    <d v="2026-10-16T00:00:00"/>
    <x v="3"/>
    <s v="Z001"/>
    <s v="1632"/>
    <s v="2465722"/>
    <s v="PC"/>
    <x v="1"/>
    <d v="2026-10-09T00:00:00"/>
    <s v="10000071"/>
    <s v="9821964322"/>
    <s v="10"/>
    <s v="130"/>
    <s v="Z27R"/>
    <s v="Z2"/>
    <s v="PC"/>
  </r>
  <r>
    <d v="2026-10-09T00:00:00"/>
    <s v="001"/>
    <s v="2720017472"/>
    <s v="1632"/>
    <s v="CORDAO PLUG TERM0,5 VE70 (PR-RJ)"/>
    <n v="8000"/>
    <n v="38008"/>
    <n v="100000"/>
    <n v="10.199999999999999"/>
    <d v="2026-10-16T00:00:00"/>
    <x v="3"/>
    <s v="Z001"/>
    <s v="1632"/>
    <s v="2465724"/>
    <s v="PC"/>
    <x v="1"/>
    <d v="2026-10-09T00:00:00"/>
    <s v="10000071"/>
    <s v="9821964322"/>
    <s v="10"/>
    <s v="130"/>
    <s v="Z27R"/>
    <s v="Z2"/>
    <s v="PC"/>
  </r>
  <r>
    <d v="2026-10-14T00:00:00"/>
    <s v="001"/>
    <s v="2720017472"/>
    <s v="1632"/>
    <s v="CORDAO PLUG TERM0,5 VE70 (PR-RJ)"/>
    <n v="8000"/>
    <n v="38008"/>
    <n v="100000"/>
    <n v="10.199999999999999"/>
    <d v="2026-10-21T00:00:00"/>
    <x v="2"/>
    <s v="Z001"/>
    <s v="1632"/>
    <s v="2465980"/>
    <s v="PC"/>
    <x v="1"/>
    <d v="2026-10-14T00:00:00"/>
    <s v="10000071"/>
    <s v="9821970539"/>
    <s v="10"/>
    <s v="130"/>
    <s v="Z27R"/>
    <s v="Z2"/>
    <s v="PC"/>
  </r>
  <r>
    <d v="2026-10-14T00:00:00"/>
    <s v="001"/>
    <s v="2720017472"/>
    <s v="1632"/>
    <s v="CORDAO PLUG TERM0,5 VE70 (PR-RJ)"/>
    <n v="3800"/>
    <n v="38008"/>
    <n v="100000"/>
    <n v="10.199999999999999"/>
    <d v="2026-10-21T00:00:00"/>
    <x v="2"/>
    <s v="Z001"/>
    <s v="1632"/>
    <s v="2465983"/>
    <s v="PC"/>
    <x v="1"/>
    <d v="2026-10-14T00:00:00"/>
    <s v="10000071"/>
    <s v="9821968621"/>
    <s v="10"/>
    <s v="130"/>
    <s v="Z27R"/>
    <s v="Z2"/>
    <s v="PC"/>
  </r>
  <r>
    <d v="2026-10-14T00:00:00"/>
    <s v="001"/>
    <s v="2720017472"/>
    <s v="1632"/>
    <s v="CORDAO PLUG TERM0,5 VE70 (PR-RJ)"/>
    <n v="6000"/>
    <n v="38008"/>
    <n v="100000"/>
    <n v="10.199999999999999"/>
    <d v="2026-10-21T00:00:00"/>
    <x v="2"/>
    <s v="Z001"/>
    <s v="1632"/>
    <s v="2465998"/>
    <s v="PC"/>
    <x v="1"/>
    <d v="2026-10-14T00:00:00"/>
    <s v="10000071"/>
    <s v="9821970539"/>
    <s v="10"/>
    <s v="130"/>
    <s v="Z27R"/>
    <s v="Z2"/>
    <s v="PC"/>
  </r>
  <r>
    <d v="2026-09-15T00:00:00"/>
    <s v="004"/>
    <s v="9295304144"/>
    <s v="1632"/>
    <s v="ANEL VED PPFI 3/4,5L CLOCK/ROCHEDO SILI"/>
    <n v="15000"/>
    <n v="42766"/>
    <n v="50000"/>
    <n v="76.599999999999994"/>
    <d v="2026-09-22T00:00:00"/>
    <x v="0"/>
    <s v="Z001"/>
    <s v="1632"/>
    <s v="2462742"/>
    <s v="PC"/>
    <x v="1"/>
    <d v="2026-09-15T00:00:00"/>
    <s v="98117771"/>
    <s v="9821972063"/>
    <s v="10"/>
    <s v="PP8"/>
    <s v="Z92R"/>
    <s v="Z2"/>
    <s v="PC"/>
  </r>
  <r>
    <d v="2026-10-06T00:00:00"/>
    <s v="004"/>
    <s v="9295304144"/>
    <s v="1632"/>
    <s v="ANEL VED PPFI 3/4,5L CLOCK/ROCHEDO SILI"/>
    <n v="15000"/>
    <n v="42766"/>
    <n v="50000"/>
    <n v="76.599999999999994"/>
    <d v="2026-10-13T00:00:00"/>
    <x v="0"/>
    <s v="Z001"/>
    <s v="1632"/>
    <s v="2465070"/>
    <s v="PC"/>
    <x v="1"/>
    <d v="2026-10-06T00:00:00"/>
    <s v="98117771"/>
    <s v="9821978688"/>
    <s v="10"/>
    <s v="PP8"/>
    <s v="Z92R"/>
    <s v="Z2"/>
    <s v="PC"/>
  </r>
  <r>
    <d v="2026-10-09T00:00:00"/>
    <s v="001"/>
    <s v="2720017388"/>
    <s v="1632"/>
    <s v=". MOTOR VE90 127V 3V 7525 AL PCB LS PO"/>
    <n v="16800"/>
    <n v="43016"/>
    <n v="0"/>
    <n v="26"/>
    <d v="2026-10-16T00:00:00"/>
    <x v="3"/>
    <s v="Z001"/>
    <s v="1632"/>
    <s v="2465600"/>
    <s v="PC"/>
    <x v="1"/>
    <d v="2026-10-09T00:00:00"/>
    <s v="99003700"/>
    <s v="9821961941"/>
    <s v="10"/>
    <s v="140"/>
    <s v="Z27R"/>
    <s v="Z2"/>
    <s v="PC"/>
  </r>
  <r>
    <d v="2026-10-08T00:00:00"/>
    <s v="003"/>
    <s v="2730002905"/>
    <s v="1632"/>
    <s v="BUCHA SINTERIZ BAC2/BSA/NLE/NLS/NPRO/RT"/>
    <n v="20000"/>
    <n v="56847"/>
    <n v="40000"/>
    <n v="36.299999999999997"/>
    <d v="2026-10-15T00:00:00"/>
    <x v="1"/>
    <s v="Z001"/>
    <s v="1632"/>
    <s v="2465603"/>
    <s v="PC"/>
    <x v="1"/>
    <d v="2026-10-08T00:00:00"/>
    <s v="98103208"/>
    <s v="9821980983"/>
    <s v="10"/>
    <s v="160"/>
    <s v="Z27R"/>
    <s v="Z2"/>
    <s v="PC"/>
  </r>
  <r>
    <d v="2026-09-30T00:00:00"/>
    <s v="003"/>
    <s v="2720018291"/>
    <s v="1632"/>
    <s v="LUVA COPO PMIX LQ18/19"/>
    <n v="20000"/>
    <n v="58644"/>
    <n v="45000"/>
    <n v="30.3"/>
    <d v="2026-10-07T00:00:00"/>
    <x v="0"/>
    <s v="Z001"/>
    <s v="1632"/>
    <s v="2464525"/>
    <s v="PC"/>
    <x v="1"/>
    <d v="2026-09-30T00:00:00"/>
    <s v="98117887"/>
    <s v="9821978695"/>
    <s v="10"/>
    <s v="PP8"/>
    <s v="Z27R"/>
    <s v="Z2"/>
    <s v="PC"/>
  </r>
  <r>
    <d v="2026-09-30T00:00:00"/>
    <s v="003"/>
    <s v="2720018291"/>
    <s v="1632"/>
    <s v="LUVA COPO PMIX LQ18/19"/>
    <n v="20000"/>
    <n v="58644"/>
    <n v="45000"/>
    <n v="30.3"/>
    <d v="2026-10-07T00:00:00"/>
    <x v="0"/>
    <s v="Z001"/>
    <s v="1632"/>
    <s v="2464524"/>
    <s v="PC"/>
    <x v="1"/>
    <d v="2026-09-30T00:00:00"/>
    <s v="98117887"/>
    <s v="9821976601"/>
    <s v="10"/>
    <s v="PP8"/>
    <s v="Z27R"/>
    <s v="Z2"/>
    <s v="PC"/>
  </r>
  <r>
    <d v="2026-09-21T00:00:00"/>
    <s v="004"/>
    <s v="9211551035"/>
    <s v="1632"/>
    <s v="VALV SEGURANCA P/ PPFI (PEQ)"/>
    <n v="12000"/>
    <n v="60641"/>
    <n v="60000"/>
    <n v="85.1"/>
    <d v="2026-09-28T00:00:00"/>
    <x v="0"/>
    <s v="Z001"/>
    <s v="1632"/>
    <s v="2463179"/>
    <s v="PC"/>
    <x v="1"/>
    <d v="2026-09-21T00:00:00"/>
    <s v="98100091"/>
    <s v="9821972016"/>
    <s v="10"/>
    <s v="PP8"/>
    <s v="Z92R"/>
    <s v="Z2"/>
    <s v="PC"/>
  </r>
  <r>
    <d v="2026-10-08T00:00:00"/>
    <s v="004"/>
    <s v="9211551035"/>
    <s v="1632"/>
    <s v="VALV SEGURANCA P/ PPFI (PEQ)"/>
    <n v="12000"/>
    <n v="60641"/>
    <n v="60000"/>
    <n v="85.1"/>
    <d v="2026-10-15T00:00:00"/>
    <x v="1"/>
    <s v="Z001"/>
    <s v="1632"/>
    <s v="2465536"/>
    <s v="PC"/>
    <x v="1"/>
    <d v="2026-10-08T00:00:00"/>
    <s v="98100091"/>
    <s v="9821976505"/>
    <s v="10"/>
    <s v="PP8"/>
    <s v="Z92R"/>
    <s v="Z2"/>
    <s v="PC"/>
  </r>
  <r>
    <d v="2026-09-30T00:00:00"/>
    <s v="003"/>
    <s v="2720017850"/>
    <s v="1632"/>
    <s v="MORDENTE VE60"/>
    <n v="21000"/>
    <n v="65125"/>
    <n v="60000"/>
    <n v="18.5"/>
    <d v="2026-10-07T00:00:00"/>
    <x v="0"/>
    <s v="Z001"/>
    <s v="1632"/>
    <s v="2464398"/>
    <s v="PC"/>
    <x v="1"/>
    <d v="2026-09-30T00:00:00"/>
    <s v="98106973"/>
    <s v="9821981030"/>
    <s v="10"/>
    <s v="PP8"/>
    <s v="Z27R"/>
    <s v="Z2"/>
    <s v="PC"/>
  </r>
  <r>
    <d v="2026-10-07T00:00:00"/>
    <s v="001"/>
    <s v="2720019377"/>
    <s v="1632"/>
    <s v="ETIQUETA DA GRADE VD2E/VD2C"/>
    <n v="10000"/>
    <n v="69558"/>
    <n v="40000"/>
    <n v="65"/>
    <d v="2026-10-14T00:00:00"/>
    <x v="0"/>
    <s v="Z001"/>
    <s v="1632"/>
    <s v="2465324"/>
    <s v="PC"/>
    <x v="1"/>
    <d v="2026-10-07T00:00:00"/>
    <s v="98121039"/>
    <s v="9821976674"/>
    <s v="10"/>
    <s v="110"/>
    <s v="Z27R"/>
    <s v="Z2"/>
    <s v="PC"/>
  </r>
  <r>
    <d v="2026-10-14T00:00:00"/>
    <s v="001"/>
    <s v="2720019377"/>
    <s v="1632"/>
    <s v="ETIQUETA DA GRADE VD2E/VD2C"/>
    <n v="11000"/>
    <n v="69558"/>
    <n v="40000"/>
    <n v="65"/>
    <d v="2026-10-21T00:00:00"/>
    <x v="2"/>
    <s v="Z001"/>
    <s v="1632"/>
    <s v="2466017"/>
    <s v="PC"/>
    <x v="1"/>
    <d v="2026-10-14T00:00:00"/>
    <s v="98121039"/>
    <s v="9821978746"/>
    <s v="10"/>
    <s v="110"/>
    <s v="Z27R"/>
    <s v="Z2"/>
    <s v="PC"/>
  </r>
  <r>
    <d v="2026-09-30T00:00:00"/>
    <s v="004"/>
    <s v="2705376100"/>
    <s v="1632"/>
    <s v="AS-7027 PORCA SEXT M6 CH 10 M5 ZCL"/>
    <n v="1000"/>
    <n v="110688"/>
    <n v="100000"/>
    <n v="30"/>
    <d v="2026-10-07T00:00:00"/>
    <x v="0"/>
    <s v="Z001"/>
    <s v="1632"/>
    <s v="2464456"/>
    <s v="PC"/>
    <x v="1"/>
    <d v="2026-09-30T00:00:00"/>
    <s v="98112956"/>
    <s v="9821980166"/>
    <s v="10"/>
    <s v="PP8"/>
    <s v="Z27R"/>
    <s v="Z2"/>
    <s v="PC"/>
  </r>
  <r>
    <d v="2026-09-23T00:00:00"/>
    <s v="002"/>
    <s v="2720002663"/>
    <s v="1632"/>
    <s v="AS-A443 INTERRUPTOR 3VEL FD40/30/NV32/MF"/>
    <n v="66000"/>
    <n v="161124"/>
    <n v="200000"/>
    <n v="26"/>
    <d v="2026-09-30T00:00:00"/>
    <x v="0"/>
    <s v="Z001"/>
    <s v="1632"/>
    <s v="2463507"/>
    <s v="PC"/>
    <x v="1"/>
    <d v="2026-09-23T00:00:00"/>
    <s v="98100029"/>
    <s v="9821965970"/>
    <s v="10"/>
    <s v="PP8"/>
    <s v="Z27R"/>
    <s v="Z2"/>
    <s v="PC"/>
  </r>
  <r>
    <d v="2026-09-29T00:00:00"/>
    <s v="002"/>
    <s v="2720002663"/>
    <s v="1632"/>
    <s v="AS-A443 INTERRUPTOR 3VEL FD40/30/NV32/MF"/>
    <n v="26000"/>
    <n v="161124"/>
    <n v="200000"/>
    <n v="26"/>
    <d v="2026-10-06T00:00:00"/>
    <x v="0"/>
    <s v="Z001"/>
    <s v="1632"/>
    <s v="2464339"/>
    <s v="PC"/>
    <x v="1"/>
    <d v="2026-09-29T00:00:00"/>
    <s v="98100029"/>
    <s v="9821965971"/>
    <s v="10"/>
    <s v="PP8"/>
    <s v="Z27R"/>
    <s v="Z2"/>
    <s v="PC"/>
  </r>
  <r>
    <d v="2026-10-01T00:00:00"/>
    <s v="002"/>
    <s v="2720002663"/>
    <s v="1632"/>
    <s v="AS-A443 INTERRUPTOR 3VEL FD40/30/NV32/MF"/>
    <n v="32000"/>
    <n v="161124"/>
    <n v="200000"/>
    <n v="26"/>
    <d v="2026-10-08T00:00:00"/>
    <x v="0"/>
    <s v="Z001"/>
    <s v="1632"/>
    <s v="2464601"/>
    <s v="PC"/>
    <x v="1"/>
    <d v="2026-10-01T00:00:00"/>
    <s v="98100029"/>
    <s v="9821967209"/>
    <s v="10"/>
    <s v="PP8"/>
    <s v="Z27R"/>
    <s v="Z2"/>
    <s v="PC"/>
  </r>
  <r>
    <d v="2026-10-05T00:00:00"/>
    <s v="002"/>
    <s v="2720002663"/>
    <s v="1632"/>
    <s v="AS-A443 INTERRUPTOR 3VEL FD40/30/NV32/MF"/>
    <n v="26000"/>
    <n v="161124"/>
    <n v="200000"/>
    <n v="26"/>
    <d v="2026-10-12T00:00:00"/>
    <x v="0"/>
    <s v="Z001"/>
    <s v="1632"/>
    <s v="2464830"/>
    <s v="PC"/>
    <x v="1"/>
    <d v="2026-10-05T00:00:00"/>
    <s v="98100029"/>
    <s v="9821967210"/>
    <s v="10"/>
    <s v="PP8"/>
    <s v="Z27R"/>
    <s v="Z2"/>
    <s v="PC"/>
  </r>
  <r>
    <d v="2026-10-05T00:00:00"/>
    <s v="002"/>
    <s v="2720002663"/>
    <s v="1632"/>
    <s v="AS-A443 INTERRUPTOR 3VEL FD40/30/NV32/MF"/>
    <n v="26000"/>
    <n v="161124"/>
    <n v="200000"/>
    <n v="26"/>
    <d v="2026-10-12T00:00:00"/>
    <x v="0"/>
    <s v="Z001"/>
    <s v="1632"/>
    <s v="2464829"/>
    <s v="PC"/>
    <x v="1"/>
    <d v="2026-10-05T00:00:00"/>
    <s v="98100029"/>
    <s v="9821968632"/>
    <s v="10"/>
    <s v="PP8"/>
    <s v="Z27R"/>
    <s v="Z2"/>
    <s v="PC"/>
  </r>
  <r>
    <d v="2026-10-09T00:00:00"/>
    <s v="002"/>
    <s v="2720002663"/>
    <s v="1632"/>
    <s v="AS-A443 INTERRUPTOR 3VEL FD40/30/NV32/MF"/>
    <n v="90000"/>
    <n v="161124"/>
    <n v="200000"/>
    <n v="26"/>
    <d v="2026-10-16T00:00:00"/>
    <x v="3"/>
    <s v="Z001"/>
    <s v="1632"/>
    <s v="2465732"/>
    <s v="PC"/>
    <x v="1"/>
    <d v="2026-10-09T00:00:00"/>
    <s v="98100029"/>
    <s v="9821969377"/>
    <s v="10"/>
    <s v="PP8"/>
    <s v="Z27R"/>
    <s v="Z2"/>
    <s v="P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D12AB-C75B-4F83-98AC-B15E4719ED4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US">
  <location ref="A3:B8" firstHeaderRow="1" firstDataRow="1" firstDataCol="1"/>
  <pivotFields count="24">
    <pivotField numFmtId="14" showAll="0"/>
    <pivotField showAll="0"/>
    <pivotField dataField="1" showAll="0"/>
    <pivotField showAll="0"/>
    <pivotField showAll="0"/>
    <pivotField numFmtId="3" showAll="0"/>
    <pivotField numFmtId="3" showAll="0"/>
    <pivotField numFmtId="3" showAll="0"/>
    <pivotField numFmtId="164" showAll="0"/>
    <pivotField numFmtId="14"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QUANTIDAD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10-15T13:55:22.75" personId="{5109DB1C-3C35-4D59-AFAA-B67BFDA77D17}" id="{3CABDC23-B87B-4EFF-8457-6DA5BD60EEE5}">
    <text>Quantidade de peças em controle de qualidade recebimento.</text>
  </threadedComment>
  <threadedComment ref="H1" dT="2026-10-15T13:54:42.39" personId="{5109DB1C-3C35-4D59-AFAA-B67BFDA77D17}" id="{31493513-ED53-4F9D-B15E-D98130B14483}">
    <text>Estoque em cobertura para atendimento das demandas de produção</text>
  </threadedComment>
  <threadedComment ref="I1" dT="2026-10-15T13:55:07.57" personId="{5109DB1C-3C35-4D59-AFAA-B67BFDA77D17}" id="{DC2ED57F-7EF3-4277-86AE-34994F99F245}">
    <text>Estoque de segurança para não impactar em criticidade de recebimento.</text>
  </threadedComment>
  <threadedComment ref="K1" dT="2026-10-15T13:54:10.86" personId="{5109DB1C-3C35-4D59-AFAA-B67BFDA77D17}" id="{A7F9BE7C-8A99-4181-B294-F4D4FCC27CB7}">
    <text>Deadline considerando que o item esta dentro do prazo de 7 dias para inspeção de recebimento.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A2A4-5985-4566-B362-69BBDA723323}">
  <dimension ref="A3:B8"/>
  <sheetViews>
    <sheetView workbookViewId="0">
      <selection activeCell="F13" sqref="F13"/>
    </sheetView>
  </sheetViews>
  <sheetFormatPr defaultRowHeight="13.2" x14ac:dyDescent="0.25"/>
  <cols>
    <col min="1" max="1" width="18.109375" bestFit="1" customWidth="1"/>
    <col min="2" max="2" width="20.109375" bestFit="1" customWidth="1"/>
  </cols>
  <sheetData>
    <row r="3" spans="1:2" x14ac:dyDescent="0.25">
      <c r="A3" s="12" t="s">
        <v>478</v>
      </c>
      <c r="B3" t="s">
        <v>485</v>
      </c>
    </row>
    <row r="4" spans="1:2" x14ac:dyDescent="0.25">
      <c r="A4" s="13" t="s">
        <v>481</v>
      </c>
      <c r="B4">
        <v>9</v>
      </c>
    </row>
    <row r="5" spans="1:2" x14ac:dyDescent="0.25">
      <c r="A5" s="13" t="s">
        <v>482</v>
      </c>
      <c r="B5">
        <v>48</v>
      </c>
    </row>
    <row r="6" spans="1:2" x14ac:dyDescent="0.25">
      <c r="A6" s="13" t="s">
        <v>483</v>
      </c>
      <c r="B6">
        <v>39</v>
      </c>
    </row>
    <row r="7" spans="1:2" x14ac:dyDescent="0.25">
      <c r="A7" s="13" t="s">
        <v>484</v>
      </c>
      <c r="B7">
        <v>10</v>
      </c>
    </row>
    <row r="8" spans="1:2" x14ac:dyDescent="0.25">
      <c r="A8" s="13" t="s">
        <v>480</v>
      </c>
      <c r="B8">
        <v>106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100"/>
  <sheetViews>
    <sheetView tabSelected="1" workbookViewId="0">
      <pane ySplit="1" topLeftCell="A71" activePane="bottomLeft" state="frozen"/>
      <selection pane="bottomLeft" activeCell="L2" sqref="L2"/>
    </sheetView>
  </sheetViews>
  <sheetFormatPr defaultRowHeight="13.2" x14ac:dyDescent="0.25"/>
  <cols>
    <col min="1" max="1" width="3.109375" customWidth="1"/>
    <col min="2" max="2" width="10.6640625" style="4" customWidth="1"/>
    <col min="3" max="3" width="8.5546875" style="4" customWidth="1"/>
    <col min="4" max="4" width="12" style="4" bestFit="1" customWidth="1"/>
    <col min="5" max="5" width="8.6640625" style="4" customWidth="1"/>
    <col min="6" max="6" width="42" style="4" bestFit="1" customWidth="1"/>
    <col min="7" max="7" width="9.44140625" style="4" customWidth="1"/>
    <col min="8" max="9" width="11" style="4" customWidth="1"/>
    <col min="10" max="10" width="9" style="4" customWidth="1"/>
    <col min="11" max="13" width="11.6640625" style="4" customWidth="1"/>
    <col min="14" max="14" width="13" style="4" customWidth="1"/>
    <col min="15" max="15" width="8.21875" style="4" customWidth="1"/>
    <col min="16" max="16" width="7.88671875" style="4" customWidth="1"/>
    <col min="17" max="17" width="8.5546875" style="4" customWidth="1"/>
    <col min="18" max="18" width="5.5546875" style="4" customWidth="1"/>
    <col min="19" max="19" width="21" style="4" bestFit="1" customWidth="1"/>
    <col min="20" max="20" width="11" style="4" customWidth="1"/>
    <col min="21" max="22" width="12" style="4" bestFit="1" customWidth="1"/>
    <col min="23" max="23" width="6" style="4" bestFit="1" customWidth="1"/>
    <col min="24" max="24" width="5" style="4" bestFit="1" customWidth="1"/>
    <col min="25" max="25" width="6" style="4" bestFit="1" customWidth="1"/>
    <col min="26" max="26" width="9.109375" style="4" customWidth="1"/>
    <col min="27" max="27" width="7.77734375" style="4" customWidth="1"/>
  </cols>
  <sheetData>
    <row r="1" spans="2:27" s="7" customFormat="1" ht="52.8" x14ac:dyDescent="0.25">
      <c r="B1" s="11" t="s">
        <v>355</v>
      </c>
      <c r="C1" s="11" t="s">
        <v>356</v>
      </c>
      <c r="D1" s="10" t="s">
        <v>357</v>
      </c>
      <c r="E1" s="11" t="s">
        <v>358</v>
      </c>
      <c r="F1" s="10" t="s">
        <v>359</v>
      </c>
      <c r="G1" s="11" t="s">
        <v>360</v>
      </c>
      <c r="H1" s="11" t="s">
        <v>361</v>
      </c>
      <c r="I1" s="11" t="s">
        <v>362</v>
      </c>
      <c r="J1" s="11" t="s">
        <v>363</v>
      </c>
      <c r="K1" s="11" t="s">
        <v>477</v>
      </c>
      <c r="L1" s="11" t="s">
        <v>486</v>
      </c>
      <c r="M1" s="11" t="s">
        <v>487</v>
      </c>
      <c r="N1" s="11" t="s">
        <v>478</v>
      </c>
      <c r="O1" s="11" t="s">
        <v>364</v>
      </c>
      <c r="P1" s="11" t="s">
        <v>365</v>
      </c>
      <c r="Q1" s="11" t="s">
        <v>366</v>
      </c>
      <c r="R1" s="11" t="s">
        <v>479</v>
      </c>
      <c r="S1" s="10" t="s">
        <v>367</v>
      </c>
      <c r="T1" s="11" t="s">
        <v>368</v>
      </c>
      <c r="U1" s="10" t="s">
        <v>369</v>
      </c>
      <c r="V1" s="11" t="s">
        <v>370</v>
      </c>
      <c r="W1" s="10" t="s">
        <v>371</v>
      </c>
      <c r="X1" s="11" t="s">
        <v>372</v>
      </c>
      <c r="Y1" s="11" t="s">
        <v>373</v>
      </c>
      <c r="Z1" s="11" t="s">
        <v>374</v>
      </c>
      <c r="AA1" s="11" t="s">
        <v>375</v>
      </c>
    </row>
    <row r="2" spans="2:27" x14ac:dyDescent="0.25">
      <c r="B2" s="3">
        <v>46245</v>
      </c>
      <c r="C2" s="4" t="s">
        <v>50</v>
      </c>
      <c r="D2" s="14">
        <v>9201612301</v>
      </c>
      <c r="E2" s="4" t="s">
        <v>2</v>
      </c>
      <c r="F2" s="4" t="s">
        <v>52</v>
      </c>
      <c r="G2" s="8">
        <v>22113</v>
      </c>
      <c r="H2" s="8">
        <v>0</v>
      </c>
      <c r="I2" s="8">
        <v>0</v>
      </c>
      <c r="J2" s="9">
        <v>999.9</v>
      </c>
      <c r="K2" s="3">
        <f t="shared" ref="K2:K31" si="0">B2+7</f>
        <v>46252</v>
      </c>
      <c r="L2" s="3"/>
      <c r="M2" s="3"/>
      <c r="N2" s="3" t="str">
        <f ca="1">IF(K2="","",IF(TODAY()&gt;K2,"ATRASADO",IF(TODAY()=K2,"VENCE HOJE",IF(K2-TODAY()&lt;=2,"ATENÇÃO","NO PRAZO"))))</f>
        <v>ATRASADO</v>
      </c>
      <c r="O2" s="4" t="s">
        <v>4</v>
      </c>
      <c r="P2" s="4" t="s">
        <v>2</v>
      </c>
      <c r="Q2" s="4" t="s">
        <v>53</v>
      </c>
      <c r="R2" s="4" t="s">
        <v>6</v>
      </c>
      <c r="S2" s="4" t="s">
        <v>54</v>
      </c>
      <c r="T2" s="3">
        <v>46245</v>
      </c>
      <c r="U2" s="4" t="s">
        <v>46</v>
      </c>
      <c r="V2" s="4" t="s">
        <v>55</v>
      </c>
      <c r="W2" s="4" t="s">
        <v>10</v>
      </c>
      <c r="X2" s="4" t="s">
        <v>48</v>
      </c>
      <c r="Y2" s="4" t="s">
        <v>49</v>
      </c>
      <c r="Z2" s="4" t="s">
        <v>13</v>
      </c>
      <c r="AA2" s="4" t="s">
        <v>6</v>
      </c>
    </row>
    <row r="3" spans="2:27" x14ac:dyDescent="0.25">
      <c r="B3" s="3">
        <v>46253</v>
      </c>
      <c r="C3" s="4" t="s">
        <v>42</v>
      </c>
      <c r="D3" s="14">
        <v>9201612300</v>
      </c>
      <c r="E3" s="4" t="s">
        <v>2</v>
      </c>
      <c r="F3" s="4" t="s">
        <v>44</v>
      </c>
      <c r="G3" s="8">
        <v>21504</v>
      </c>
      <c r="H3" s="8">
        <v>0</v>
      </c>
      <c r="I3" s="8">
        <v>0</v>
      </c>
      <c r="J3" s="9">
        <v>999.9</v>
      </c>
      <c r="K3" s="3">
        <f t="shared" si="0"/>
        <v>46260</v>
      </c>
      <c r="L3" s="3"/>
      <c r="M3" s="3"/>
      <c r="N3" s="3" t="str">
        <f ca="1">IF(K3="","",IF(TODAY()&gt;K3,"ATRASADO",IF(TODAY()=K3,"VENCE HOJE",IF(K3-TODAY()&lt;=2,"ATENÇÃO","NO PRAZO"))))</f>
        <v>ATRASADO</v>
      </c>
      <c r="O3" s="4" t="s">
        <v>4</v>
      </c>
      <c r="P3" s="4" t="s">
        <v>2</v>
      </c>
      <c r="Q3" s="4" t="s">
        <v>45</v>
      </c>
      <c r="R3" s="4" t="s">
        <v>6</v>
      </c>
      <c r="S3" s="4" t="s">
        <v>7</v>
      </c>
      <c r="T3" s="3">
        <v>46253</v>
      </c>
      <c r="U3" s="4" t="s">
        <v>46</v>
      </c>
      <c r="V3" s="4" t="s">
        <v>47</v>
      </c>
      <c r="W3" s="4" t="s">
        <v>10</v>
      </c>
      <c r="X3" s="4" t="s">
        <v>48</v>
      </c>
      <c r="Y3" s="4" t="s">
        <v>49</v>
      </c>
      <c r="Z3" s="4" t="s">
        <v>13</v>
      </c>
      <c r="AA3" s="4" t="s">
        <v>6</v>
      </c>
    </row>
    <row r="4" spans="2:27" x14ac:dyDescent="0.25">
      <c r="B4" s="3">
        <v>46300</v>
      </c>
      <c r="C4" s="4" t="s">
        <v>0</v>
      </c>
      <c r="D4" s="14">
        <v>2720019497</v>
      </c>
      <c r="E4" s="4" t="s">
        <v>2</v>
      </c>
      <c r="F4" s="4" t="s">
        <v>21</v>
      </c>
      <c r="G4" s="8">
        <v>6000</v>
      </c>
      <c r="H4" s="8">
        <v>0</v>
      </c>
      <c r="I4" s="8">
        <v>6000</v>
      </c>
      <c r="J4" s="9">
        <v>1</v>
      </c>
      <c r="K4" s="3">
        <f t="shared" si="0"/>
        <v>46307</v>
      </c>
      <c r="L4" s="3"/>
      <c r="M4" s="3"/>
      <c r="N4" s="3" t="str">
        <f ca="1">IF(K4="","",IF(TODAY()&gt;K4,"ATRASADO",IF(TODAY()=K4,"VENCE HOJE",IF(K4-TODAY()&lt;=2,"ATENÇÃO","NO PRAZO"))))</f>
        <v>ATRASADO</v>
      </c>
      <c r="O4" s="4" t="s">
        <v>4</v>
      </c>
      <c r="P4" s="4" t="s">
        <v>2</v>
      </c>
      <c r="Q4" s="4" t="s">
        <v>22</v>
      </c>
      <c r="R4" s="4" t="s">
        <v>6</v>
      </c>
      <c r="S4" s="4" t="s">
        <v>7</v>
      </c>
      <c r="T4" s="3">
        <v>46300</v>
      </c>
      <c r="U4" s="4" t="s">
        <v>17</v>
      </c>
      <c r="V4" s="4" t="s">
        <v>23</v>
      </c>
      <c r="W4" s="4" t="s">
        <v>10</v>
      </c>
      <c r="X4" s="4" t="s">
        <v>19</v>
      </c>
      <c r="Y4" s="4" t="s">
        <v>12</v>
      </c>
      <c r="Z4" s="4" t="s">
        <v>13</v>
      </c>
      <c r="AA4" s="4" t="s">
        <v>6</v>
      </c>
    </row>
    <row r="5" spans="2:27" x14ac:dyDescent="0.25">
      <c r="B5" s="3">
        <v>46300</v>
      </c>
      <c r="C5" s="4" t="s">
        <v>0</v>
      </c>
      <c r="D5" s="14">
        <v>2720019592</v>
      </c>
      <c r="E5" s="4" t="s">
        <v>2</v>
      </c>
      <c r="F5" s="4" t="s">
        <v>30</v>
      </c>
      <c r="G5" s="8">
        <v>6000</v>
      </c>
      <c r="H5" s="8">
        <v>0</v>
      </c>
      <c r="I5" s="8">
        <v>0</v>
      </c>
      <c r="J5" s="9">
        <v>15</v>
      </c>
      <c r="K5" s="3">
        <f t="shared" si="0"/>
        <v>46307</v>
      </c>
      <c r="L5" s="3"/>
      <c r="M5" s="3"/>
      <c r="N5" s="3" t="str">
        <f ca="1">IF(K5="","",IF(TODAY()&gt;K5,"ATRASADO",IF(TODAY()=K5,"VENCE HOJE",IF(K5-TODAY()&lt;=2,"ATENÇÃO","NO PRAZO"))))</f>
        <v>ATRASADO</v>
      </c>
      <c r="O5" s="4" t="s">
        <v>4</v>
      </c>
      <c r="P5" s="4" t="s">
        <v>2</v>
      </c>
      <c r="Q5" s="4" t="s">
        <v>31</v>
      </c>
      <c r="R5" s="4" t="s">
        <v>6</v>
      </c>
      <c r="S5" s="4" t="s">
        <v>7</v>
      </c>
      <c r="T5" s="3">
        <v>46300</v>
      </c>
      <c r="U5" s="4" t="s">
        <v>17</v>
      </c>
      <c r="V5" s="4" t="s">
        <v>32</v>
      </c>
      <c r="W5" s="4" t="s">
        <v>10</v>
      </c>
      <c r="X5" s="4" t="s">
        <v>19</v>
      </c>
      <c r="Y5" s="4" t="s">
        <v>12</v>
      </c>
      <c r="Z5" s="4" t="s">
        <v>13</v>
      </c>
      <c r="AA5" s="4" t="s">
        <v>6</v>
      </c>
    </row>
    <row r="6" spans="2:27" x14ac:dyDescent="0.25">
      <c r="B6" s="3">
        <v>46303</v>
      </c>
      <c r="C6" s="4" t="s">
        <v>0</v>
      </c>
      <c r="D6" s="14">
        <v>2720018982</v>
      </c>
      <c r="E6" s="4" t="s">
        <v>2</v>
      </c>
      <c r="F6" s="4" t="s">
        <v>25</v>
      </c>
      <c r="G6" s="8">
        <v>16110</v>
      </c>
      <c r="H6" s="8">
        <v>0</v>
      </c>
      <c r="I6" s="8">
        <v>0</v>
      </c>
      <c r="J6" s="9">
        <v>11</v>
      </c>
      <c r="K6" s="3">
        <f t="shared" si="0"/>
        <v>46310</v>
      </c>
      <c r="L6" s="3"/>
      <c r="M6" s="3"/>
      <c r="N6" s="3" t="str">
        <f ca="1">IF(K6="","",IF(TODAY()&gt;K6,"ATRASADO",IF(TODAY()=K6,"VENCE HOJE",IF(K6-TODAY()&lt;=2,"ATENÇÃO","NO PRAZO"))))</f>
        <v>ATRASADO</v>
      </c>
      <c r="O6" s="4" t="s">
        <v>4</v>
      </c>
      <c r="P6" s="4" t="s">
        <v>2</v>
      </c>
      <c r="Q6" s="4" t="s">
        <v>26</v>
      </c>
      <c r="R6" s="4" t="s">
        <v>6</v>
      </c>
      <c r="S6" s="4" t="s">
        <v>7</v>
      </c>
      <c r="T6" s="3">
        <v>46303</v>
      </c>
      <c r="U6" s="4" t="s">
        <v>27</v>
      </c>
      <c r="V6" s="4" t="s">
        <v>28</v>
      </c>
      <c r="W6" s="4" t="s">
        <v>10</v>
      </c>
      <c r="X6" s="4" t="s">
        <v>11</v>
      </c>
      <c r="Y6" s="4" t="s">
        <v>12</v>
      </c>
      <c r="Z6" s="4" t="s">
        <v>13</v>
      </c>
      <c r="AA6" s="4" t="s">
        <v>6</v>
      </c>
    </row>
    <row r="7" spans="2:27" x14ac:dyDescent="0.25">
      <c r="B7" s="3">
        <v>46303</v>
      </c>
      <c r="C7" s="4" t="s">
        <v>0</v>
      </c>
      <c r="D7" s="14">
        <v>2720019690</v>
      </c>
      <c r="E7" s="4" t="s">
        <v>2</v>
      </c>
      <c r="F7" s="4" t="s">
        <v>34</v>
      </c>
      <c r="G7" s="8">
        <v>16045</v>
      </c>
      <c r="H7" s="8">
        <v>0</v>
      </c>
      <c r="I7" s="8">
        <v>5000</v>
      </c>
      <c r="J7" s="9">
        <v>999.9</v>
      </c>
      <c r="K7" s="3">
        <f t="shared" si="0"/>
        <v>46310</v>
      </c>
      <c r="L7" s="3"/>
      <c r="M7" s="3"/>
      <c r="N7" s="3" t="str">
        <f ca="1">IF(K7="","",IF(TODAY()&gt;K7,"ATRASADO",IF(TODAY()=K7,"VENCE HOJE",IF(K7-TODAY()&lt;=2,"ATENÇÃO","NO PRAZO"))))</f>
        <v>ATRASADO</v>
      </c>
      <c r="O7" s="4" t="s">
        <v>4</v>
      </c>
      <c r="P7" s="4" t="s">
        <v>2</v>
      </c>
      <c r="Q7" s="4" t="s">
        <v>35</v>
      </c>
      <c r="R7" s="4" t="s">
        <v>6</v>
      </c>
      <c r="S7" s="4" t="s">
        <v>7</v>
      </c>
      <c r="T7" s="3">
        <v>46303</v>
      </c>
      <c r="U7" s="4" t="s">
        <v>27</v>
      </c>
      <c r="V7" s="4" t="s">
        <v>36</v>
      </c>
      <c r="W7" s="4" t="s">
        <v>10</v>
      </c>
      <c r="X7" s="4" t="s">
        <v>11</v>
      </c>
      <c r="Y7" s="4" t="s">
        <v>12</v>
      </c>
      <c r="Z7" s="4" t="s">
        <v>13</v>
      </c>
      <c r="AA7" s="4" t="s">
        <v>6</v>
      </c>
    </row>
    <row r="8" spans="2:27" x14ac:dyDescent="0.25">
      <c r="B8" s="3">
        <v>46303</v>
      </c>
      <c r="C8" s="4" t="s">
        <v>37</v>
      </c>
      <c r="D8" s="14">
        <v>2720019693</v>
      </c>
      <c r="E8" s="4" t="s">
        <v>2</v>
      </c>
      <c r="F8" s="4" t="s">
        <v>39</v>
      </c>
      <c r="G8" s="8">
        <v>15937</v>
      </c>
      <c r="H8" s="8">
        <v>0</v>
      </c>
      <c r="I8" s="8">
        <v>10000</v>
      </c>
      <c r="J8" s="9">
        <v>999.9</v>
      </c>
      <c r="K8" s="3">
        <f t="shared" si="0"/>
        <v>46310</v>
      </c>
      <c r="L8" s="3"/>
      <c r="M8" s="3"/>
      <c r="N8" s="3" t="str">
        <f ca="1">IF(K8="","",IF(TODAY()&gt;K8,"ATRASADO",IF(TODAY()=K8,"VENCE HOJE",IF(K8-TODAY()&lt;=2,"ATENÇÃO","NO PRAZO"))))</f>
        <v>ATRASADO</v>
      </c>
      <c r="O8" s="4" t="s">
        <v>4</v>
      </c>
      <c r="P8" s="4" t="s">
        <v>2</v>
      </c>
      <c r="Q8" s="4" t="s">
        <v>40</v>
      </c>
      <c r="R8" s="4" t="s">
        <v>6</v>
      </c>
      <c r="S8" s="4" t="s">
        <v>7</v>
      </c>
      <c r="T8" s="3">
        <v>46303</v>
      </c>
      <c r="U8" s="4" t="s">
        <v>27</v>
      </c>
      <c r="V8" s="4" t="s">
        <v>41</v>
      </c>
      <c r="W8" s="4" t="s">
        <v>10</v>
      </c>
      <c r="X8" s="4" t="s">
        <v>11</v>
      </c>
      <c r="Y8" s="4" t="s">
        <v>12</v>
      </c>
      <c r="Z8" s="4" t="s">
        <v>13</v>
      </c>
      <c r="AA8" s="4" t="s">
        <v>6</v>
      </c>
    </row>
    <row r="9" spans="2:27" x14ac:dyDescent="0.25">
      <c r="B9" s="3">
        <v>46308</v>
      </c>
      <c r="C9" s="4" t="s">
        <v>0</v>
      </c>
      <c r="D9" s="14">
        <v>2720019734</v>
      </c>
      <c r="E9" s="4" t="s">
        <v>2</v>
      </c>
      <c r="F9" s="4" t="s">
        <v>3</v>
      </c>
      <c r="G9" s="8">
        <v>10185</v>
      </c>
      <c r="H9" s="8">
        <v>0</v>
      </c>
      <c r="I9" s="8">
        <v>30000</v>
      </c>
      <c r="J9" s="9">
        <v>-8</v>
      </c>
      <c r="K9" s="3">
        <f t="shared" si="0"/>
        <v>46315</v>
      </c>
      <c r="L9" s="3"/>
      <c r="M9" s="3"/>
      <c r="N9" s="3" t="str">
        <f ca="1">IF(K9="","",IF(TODAY()&gt;K9,"ATRASADO",IF(TODAY()=K9,"VENCE HOJE",IF(K9-TODAY()&lt;=2,"ATENÇÃO","NO PRAZO"))))</f>
        <v>NO PRAZO</v>
      </c>
      <c r="O9" s="4" t="s">
        <v>4</v>
      </c>
      <c r="P9" s="4" t="s">
        <v>2</v>
      </c>
      <c r="Q9" s="4" t="s">
        <v>5</v>
      </c>
      <c r="R9" s="4" t="s">
        <v>6</v>
      </c>
      <c r="S9" s="4" t="s">
        <v>7</v>
      </c>
      <c r="T9" s="3">
        <v>46308</v>
      </c>
      <c r="U9" s="4" t="s">
        <v>8</v>
      </c>
      <c r="V9" s="4" t="s">
        <v>9</v>
      </c>
      <c r="W9" s="4" t="s">
        <v>10</v>
      </c>
      <c r="X9" s="4" t="s">
        <v>11</v>
      </c>
      <c r="Y9" s="4" t="s">
        <v>12</v>
      </c>
      <c r="Z9" s="4" t="s">
        <v>13</v>
      </c>
      <c r="AA9" s="4" t="s">
        <v>6</v>
      </c>
    </row>
    <row r="10" spans="2:27" x14ac:dyDescent="0.25">
      <c r="B10" s="3">
        <v>46308</v>
      </c>
      <c r="C10" s="4" t="s">
        <v>0</v>
      </c>
      <c r="D10" s="14">
        <v>2720019276</v>
      </c>
      <c r="E10" s="4" t="s">
        <v>2</v>
      </c>
      <c r="F10" s="4" t="s">
        <v>15</v>
      </c>
      <c r="G10" s="8">
        <v>10000</v>
      </c>
      <c r="H10" s="8">
        <v>0</v>
      </c>
      <c r="I10" s="8">
        <v>5000</v>
      </c>
      <c r="J10" s="9">
        <v>-1</v>
      </c>
      <c r="K10" s="3">
        <f t="shared" si="0"/>
        <v>46315</v>
      </c>
      <c r="L10" s="3"/>
      <c r="M10" s="3"/>
      <c r="N10" s="3" t="str">
        <f ca="1">IF(K10="","",IF(TODAY()&gt;K10,"ATRASADO",IF(TODAY()=K10,"VENCE HOJE",IF(K10-TODAY()&lt;=2,"ATENÇÃO","NO PRAZO"))))</f>
        <v>NO PRAZO</v>
      </c>
      <c r="O10" s="4" t="s">
        <v>4</v>
      </c>
      <c r="P10" s="4" t="s">
        <v>2</v>
      </c>
      <c r="Q10" s="4" t="s">
        <v>16</v>
      </c>
      <c r="R10" s="4" t="s">
        <v>6</v>
      </c>
      <c r="S10" s="4" t="s">
        <v>7</v>
      </c>
      <c r="T10" s="3">
        <v>46308</v>
      </c>
      <c r="U10" s="4" t="s">
        <v>17</v>
      </c>
      <c r="V10" s="4" t="s">
        <v>18</v>
      </c>
      <c r="W10" s="4" t="s">
        <v>10</v>
      </c>
      <c r="X10" s="4" t="s">
        <v>19</v>
      </c>
      <c r="Y10" s="4" t="s">
        <v>12</v>
      </c>
      <c r="Z10" s="4" t="s">
        <v>13</v>
      </c>
      <c r="AA10" s="4" t="s">
        <v>6</v>
      </c>
    </row>
    <row r="11" spans="2:27" x14ac:dyDescent="0.25">
      <c r="B11" s="3">
        <v>46308</v>
      </c>
      <c r="C11" s="4" t="s">
        <v>0</v>
      </c>
      <c r="D11" s="14">
        <v>9295307140</v>
      </c>
      <c r="E11" s="4" t="s">
        <v>2</v>
      </c>
      <c r="F11" s="4" t="s">
        <v>57</v>
      </c>
      <c r="G11" s="8">
        <v>2000</v>
      </c>
      <c r="H11" s="8">
        <v>0</v>
      </c>
      <c r="I11" s="8">
        <v>0</v>
      </c>
      <c r="J11" s="9">
        <v>999.9</v>
      </c>
      <c r="K11" s="3">
        <f t="shared" si="0"/>
        <v>46315</v>
      </c>
      <c r="L11" s="3"/>
      <c r="M11" s="3"/>
      <c r="N11" s="3" t="str">
        <f ca="1">IF(K11="","",IF(TODAY()&gt;K11,"ATRASADO",IF(TODAY()=K11,"VENCE HOJE",IF(K11-TODAY()&lt;=2,"ATENÇÃO","NO PRAZO"))))</f>
        <v>NO PRAZO</v>
      </c>
      <c r="O11" s="4" t="s">
        <v>4</v>
      </c>
      <c r="P11" s="4" t="s">
        <v>2</v>
      </c>
      <c r="Q11" s="4" t="s">
        <v>58</v>
      </c>
      <c r="R11" s="4" t="s">
        <v>6</v>
      </c>
      <c r="S11" s="4" t="s">
        <v>7</v>
      </c>
      <c r="T11" s="3">
        <v>46308</v>
      </c>
      <c r="U11" s="4" t="s">
        <v>17</v>
      </c>
      <c r="V11" s="4" t="s">
        <v>59</v>
      </c>
      <c r="W11" s="4" t="s">
        <v>10</v>
      </c>
      <c r="X11" s="4" t="s">
        <v>19</v>
      </c>
      <c r="Y11" s="4" t="s">
        <v>49</v>
      </c>
      <c r="Z11" s="4" t="s">
        <v>13</v>
      </c>
      <c r="AA11" s="4" t="s">
        <v>6</v>
      </c>
    </row>
    <row r="12" spans="2:27" x14ac:dyDescent="0.25">
      <c r="B12" s="3">
        <v>46308</v>
      </c>
      <c r="C12" s="4" t="s">
        <v>0</v>
      </c>
      <c r="D12" s="14">
        <v>9295307141</v>
      </c>
      <c r="E12" s="4" t="s">
        <v>2</v>
      </c>
      <c r="F12" s="4" t="s">
        <v>61</v>
      </c>
      <c r="G12" s="8">
        <v>2000</v>
      </c>
      <c r="H12" s="8">
        <v>0</v>
      </c>
      <c r="I12" s="8">
        <v>0</v>
      </c>
      <c r="J12" s="9">
        <v>999.9</v>
      </c>
      <c r="K12" s="3">
        <f t="shared" si="0"/>
        <v>46315</v>
      </c>
      <c r="L12" s="3"/>
      <c r="M12" s="3"/>
      <c r="N12" s="3" t="str">
        <f ca="1">IF(K12="","",IF(TODAY()&gt;K12,"ATRASADO",IF(TODAY()=K12,"VENCE HOJE",IF(K12-TODAY()&lt;=2,"ATENÇÃO","NO PRAZO"))))</f>
        <v>NO PRAZO</v>
      </c>
      <c r="O12" s="4" t="s">
        <v>4</v>
      </c>
      <c r="P12" s="4" t="s">
        <v>2</v>
      </c>
      <c r="Q12" s="4" t="s">
        <v>62</v>
      </c>
      <c r="R12" s="4" t="s">
        <v>6</v>
      </c>
      <c r="S12" s="4" t="s">
        <v>7</v>
      </c>
      <c r="T12" s="3">
        <v>46308</v>
      </c>
      <c r="U12" s="4" t="s">
        <v>17</v>
      </c>
      <c r="V12" s="4" t="s">
        <v>63</v>
      </c>
      <c r="W12" s="4" t="s">
        <v>10</v>
      </c>
      <c r="X12" s="4" t="s">
        <v>19</v>
      </c>
      <c r="Y12" s="4" t="s">
        <v>49</v>
      </c>
      <c r="Z12" s="4" t="s">
        <v>13</v>
      </c>
      <c r="AA12" s="4" t="s">
        <v>6</v>
      </c>
    </row>
    <row r="13" spans="2:27" x14ac:dyDescent="0.25">
      <c r="B13" s="3">
        <v>46308</v>
      </c>
      <c r="C13" s="4" t="s">
        <v>0</v>
      </c>
      <c r="D13" s="14">
        <v>2720019626</v>
      </c>
      <c r="E13" s="4" t="s">
        <v>2</v>
      </c>
      <c r="F13" s="4" t="s">
        <v>70</v>
      </c>
      <c r="G13" s="8">
        <v>6200</v>
      </c>
      <c r="H13" s="8">
        <v>49</v>
      </c>
      <c r="I13" s="8">
        <v>10000</v>
      </c>
      <c r="J13" s="9">
        <v>15</v>
      </c>
      <c r="K13" s="3">
        <f t="shared" si="0"/>
        <v>46315</v>
      </c>
      <c r="L13" s="3"/>
      <c r="M13" s="3"/>
      <c r="N13" s="3" t="str">
        <f ca="1">IF(K13="","",IF(TODAY()&gt;K13,"ATRASADO",IF(TODAY()=K13,"VENCE HOJE",IF(K13-TODAY()&lt;=2,"ATENÇÃO","NO PRAZO"))))</f>
        <v>NO PRAZO</v>
      </c>
      <c r="O13" s="4" t="s">
        <v>4</v>
      </c>
      <c r="P13" s="4" t="s">
        <v>2</v>
      </c>
      <c r="Q13" s="4" t="s">
        <v>71</v>
      </c>
      <c r="R13" s="4" t="s">
        <v>6</v>
      </c>
      <c r="S13" s="4" t="s">
        <v>7</v>
      </c>
      <c r="T13" s="3">
        <v>46308</v>
      </c>
      <c r="U13" s="4" t="s">
        <v>17</v>
      </c>
      <c r="V13" s="4" t="s">
        <v>72</v>
      </c>
      <c r="W13" s="4" t="s">
        <v>10</v>
      </c>
      <c r="X13" s="4" t="s">
        <v>19</v>
      </c>
      <c r="Y13" s="4" t="s">
        <v>12</v>
      </c>
      <c r="Z13" s="4" t="s">
        <v>13</v>
      </c>
      <c r="AA13" s="4" t="s">
        <v>6</v>
      </c>
    </row>
    <row r="14" spans="2:27" x14ac:dyDescent="0.25">
      <c r="B14" s="3">
        <v>46302</v>
      </c>
      <c r="C14" s="4" t="s">
        <v>0</v>
      </c>
      <c r="D14" s="14">
        <v>2720019236</v>
      </c>
      <c r="E14" s="4" t="s">
        <v>2</v>
      </c>
      <c r="F14" s="4" t="s">
        <v>74</v>
      </c>
      <c r="G14" s="8">
        <v>5000</v>
      </c>
      <c r="H14" s="8">
        <v>250</v>
      </c>
      <c r="I14" s="8">
        <v>0</v>
      </c>
      <c r="J14" s="9">
        <v>12.1</v>
      </c>
      <c r="K14" s="3">
        <f t="shared" si="0"/>
        <v>46309</v>
      </c>
      <c r="L14" s="3"/>
      <c r="M14" s="3"/>
      <c r="N14" s="3" t="str">
        <f ca="1">IF(K14="","",IF(TODAY()&gt;K14,"ATRASADO",IF(TODAY()=K14,"VENCE HOJE",IF(K14-TODAY()&lt;=2,"ATENÇÃO","NO PRAZO"))))</f>
        <v>ATRASADO</v>
      </c>
      <c r="O14" s="4" t="s">
        <v>4</v>
      </c>
      <c r="P14" s="4" t="s">
        <v>2</v>
      </c>
      <c r="Q14" s="4" t="s">
        <v>75</v>
      </c>
      <c r="R14" s="4" t="s">
        <v>6</v>
      </c>
      <c r="S14" s="4" t="s">
        <v>7</v>
      </c>
      <c r="T14" s="3">
        <v>46302</v>
      </c>
      <c r="U14" s="4" t="s">
        <v>76</v>
      </c>
      <c r="V14" s="4" t="s">
        <v>77</v>
      </c>
      <c r="W14" s="4" t="s">
        <v>10</v>
      </c>
      <c r="X14" s="4" t="s">
        <v>11</v>
      </c>
      <c r="Y14" s="4" t="s">
        <v>12</v>
      </c>
      <c r="Z14" s="4" t="s">
        <v>13</v>
      </c>
      <c r="AA14" s="4" t="s">
        <v>6</v>
      </c>
    </row>
    <row r="15" spans="2:27" x14ac:dyDescent="0.25">
      <c r="B15" s="3">
        <v>46300</v>
      </c>
      <c r="C15" s="4" t="s">
        <v>0</v>
      </c>
      <c r="D15" s="14">
        <v>2720012214</v>
      </c>
      <c r="E15" s="4" t="s">
        <v>2</v>
      </c>
      <c r="F15" s="4" t="s">
        <v>79</v>
      </c>
      <c r="G15" s="8">
        <v>1152</v>
      </c>
      <c r="H15" s="8">
        <v>1697</v>
      </c>
      <c r="I15" s="8">
        <v>15000</v>
      </c>
      <c r="J15" s="9">
        <v>49</v>
      </c>
      <c r="K15" s="3">
        <f t="shared" si="0"/>
        <v>46307</v>
      </c>
      <c r="L15" s="3"/>
      <c r="M15" s="3"/>
      <c r="N15" s="3" t="str">
        <f ca="1">IF(K15="","",IF(TODAY()&gt;K15,"ATRASADO",IF(TODAY()=K15,"VENCE HOJE",IF(K15-TODAY()&lt;=2,"ATENÇÃO","NO PRAZO"))))</f>
        <v>ATRASADO</v>
      </c>
      <c r="O15" s="4" t="s">
        <v>4</v>
      </c>
      <c r="P15" s="4" t="s">
        <v>2</v>
      </c>
      <c r="Q15" s="4" t="s">
        <v>85</v>
      </c>
      <c r="R15" s="4" t="s">
        <v>6</v>
      </c>
      <c r="S15" s="4" t="s">
        <v>7</v>
      </c>
      <c r="T15" s="3">
        <v>46300</v>
      </c>
      <c r="U15" s="4" t="s">
        <v>81</v>
      </c>
      <c r="V15" s="4" t="s">
        <v>82</v>
      </c>
      <c r="W15" s="4" t="s">
        <v>10</v>
      </c>
      <c r="X15" s="4" t="s">
        <v>83</v>
      </c>
      <c r="Y15" s="4" t="s">
        <v>12</v>
      </c>
      <c r="Z15" s="4" t="s">
        <v>13</v>
      </c>
      <c r="AA15" s="4" t="s">
        <v>6</v>
      </c>
    </row>
    <row r="16" spans="2:27" x14ac:dyDescent="0.25">
      <c r="B16" s="3">
        <v>46303</v>
      </c>
      <c r="C16" s="4" t="s">
        <v>0</v>
      </c>
      <c r="D16" s="14">
        <v>2720012214</v>
      </c>
      <c r="E16" s="4" t="s">
        <v>2</v>
      </c>
      <c r="F16" s="4" t="s">
        <v>79</v>
      </c>
      <c r="G16" s="8">
        <v>1440</v>
      </c>
      <c r="H16" s="8">
        <v>1697</v>
      </c>
      <c r="I16" s="8">
        <v>15000</v>
      </c>
      <c r="J16" s="9">
        <v>49</v>
      </c>
      <c r="K16" s="3">
        <f t="shared" si="0"/>
        <v>46310</v>
      </c>
      <c r="L16" s="3"/>
      <c r="M16" s="3"/>
      <c r="N16" s="3" t="str">
        <f ca="1">IF(K16="","",IF(TODAY()&gt;K16,"ATRASADO",IF(TODAY()=K16,"VENCE HOJE",IF(K16-TODAY()&lt;=2,"ATENÇÃO","NO PRAZO"))))</f>
        <v>ATRASADO</v>
      </c>
      <c r="O16" s="4" t="s">
        <v>4</v>
      </c>
      <c r="P16" s="4" t="s">
        <v>2</v>
      </c>
      <c r="Q16" s="4" t="s">
        <v>80</v>
      </c>
      <c r="R16" s="4" t="s">
        <v>6</v>
      </c>
      <c r="S16" s="4" t="s">
        <v>7</v>
      </c>
      <c r="T16" s="3">
        <v>46303</v>
      </c>
      <c r="U16" s="4" t="s">
        <v>81</v>
      </c>
      <c r="V16" s="4" t="s">
        <v>82</v>
      </c>
      <c r="W16" s="4" t="s">
        <v>10</v>
      </c>
      <c r="X16" s="4" t="s">
        <v>83</v>
      </c>
      <c r="Y16" s="4" t="s">
        <v>12</v>
      </c>
      <c r="Z16" s="4" t="s">
        <v>13</v>
      </c>
      <c r="AA16" s="4" t="s">
        <v>6</v>
      </c>
    </row>
    <row r="17" spans="2:27" x14ac:dyDescent="0.25">
      <c r="B17" s="3">
        <v>46308</v>
      </c>
      <c r="C17" s="4" t="s">
        <v>0</v>
      </c>
      <c r="D17" s="14">
        <v>2720012214</v>
      </c>
      <c r="E17" s="4" t="s">
        <v>2</v>
      </c>
      <c r="F17" s="4" t="s">
        <v>79</v>
      </c>
      <c r="G17" s="8">
        <v>1008</v>
      </c>
      <c r="H17" s="8">
        <v>1697</v>
      </c>
      <c r="I17" s="8">
        <v>15000</v>
      </c>
      <c r="J17" s="9">
        <v>49</v>
      </c>
      <c r="K17" s="3">
        <f t="shared" si="0"/>
        <v>46315</v>
      </c>
      <c r="L17" s="3"/>
      <c r="M17" s="3"/>
      <c r="N17" s="3" t="str">
        <f ca="1">IF(K17="","",IF(TODAY()&gt;K17,"ATRASADO",IF(TODAY()=K17,"VENCE HOJE",IF(K17-TODAY()&lt;=2,"ATENÇÃO","NO PRAZO"))))</f>
        <v>NO PRAZO</v>
      </c>
      <c r="O17" s="4" t="s">
        <v>4</v>
      </c>
      <c r="P17" s="4" t="s">
        <v>2</v>
      </c>
      <c r="Q17" s="4" t="s">
        <v>84</v>
      </c>
      <c r="R17" s="4" t="s">
        <v>6</v>
      </c>
      <c r="S17" s="4" t="s">
        <v>7</v>
      </c>
      <c r="T17" s="3">
        <v>46308</v>
      </c>
      <c r="U17" s="4" t="s">
        <v>81</v>
      </c>
      <c r="V17" s="4" t="s">
        <v>82</v>
      </c>
      <c r="W17" s="4" t="s">
        <v>10</v>
      </c>
      <c r="X17" s="4" t="s">
        <v>83</v>
      </c>
      <c r="Y17" s="4" t="s">
        <v>12</v>
      </c>
      <c r="Z17" s="4" t="s">
        <v>13</v>
      </c>
      <c r="AA17" s="4" t="s">
        <v>6</v>
      </c>
    </row>
    <row r="18" spans="2:27" x14ac:dyDescent="0.25">
      <c r="B18" s="3">
        <v>46308</v>
      </c>
      <c r="C18" s="4" t="s">
        <v>0</v>
      </c>
      <c r="D18" s="14">
        <v>2720018983</v>
      </c>
      <c r="E18" s="4" t="s">
        <v>2</v>
      </c>
      <c r="F18" s="4" t="s">
        <v>87</v>
      </c>
      <c r="G18" s="8">
        <v>6000</v>
      </c>
      <c r="H18" s="8">
        <v>1700</v>
      </c>
      <c r="I18" s="8">
        <v>0</v>
      </c>
      <c r="J18" s="9">
        <v>12.4</v>
      </c>
      <c r="K18" s="3">
        <f t="shared" si="0"/>
        <v>46315</v>
      </c>
      <c r="L18" s="3"/>
      <c r="M18" s="3"/>
      <c r="N18" s="3" t="str">
        <f ca="1">IF(K18="","",IF(TODAY()&gt;K18,"ATRASADO",IF(TODAY()=K18,"VENCE HOJE",IF(K18-TODAY()&lt;=2,"ATENÇÃO","NO PRAZO"))))</f>
        <v>NO PRAZO</v>
      </c>
      <c r="O18" s="4" t="s">
        <v>4</v>
      </c>
      <c r="P18" s="4" t="s">
        <v>2</v>
      </c>
      <c r="Q18" s="4" t="s">
        <v>88</v>
      </c>
      <c r="R18" s="4" t="s">
        <v>6</v>
      </c>
      <c r="S18" s="4" t="s">
        <v>7</v>
      </c>
      <c r="T18" s="3">
        <v>46308</v>
      </c>
      <c r="U18" s="4" t="s">
        <v>17</v>
      </c>
      <c r="V18" s="4" t="s">
        <v>89</v>
      </c>
      <c r="W18" s="4" t="s">
        <v>10</v>
      </c>
      <c r="X18" s="4" t="s">
        <v>19</v>
      </c>
      <c r="Y18" s="4" t="s">
        <v>12</v>
      </c>
      <c r="Z18" s="4" t="s">
        <v>13</v>
      </c>
      <c r="AA18" s="4" t="s">
        <v>6</v>
      </c>
    </row>
    <row r="19" spans="2:27" x14ac:dyDescent="0.25">
      <c r="B19" s="3">
        <v>46308</v>
      </c>
      <c r="C19" s="4" t="s">
        <v>0</v>
      </c>
      <c r="D19" s="14">
        <v>2720015746</v>
      </c>
      <c r="E19" s="4" t="s">
        <v>2</v>
      </c>
      <c r="F19" s="4" t="s">
        <v>91</v>
      </c>
      <c r="G19" s="8">
        <v>15600</v>
      </c>
      <c r="H19" s="8">
        <v>1865</v>
      </c>
      <c r="I19" s="8">
        <v>1000</v>
      </c>
      <c r="J19" s="9">
        <v>4</v>
      </c>
      <c r="K19" s="3">
        <f t="shared" si="0"/>
        <v>46315</v>
      </c>
      <c r="L19" s="3"/>
      <c r="M19" s="3"/>
      <c r="N19" s="3" t="str">
        <f ca="1">IF(K19="","",IF(TODAY()&gt;K19,"ATRASADO",IF(TODAY()=K19,"VENCE HOJE",IF(K19-TODAY()&lt;=2,"ATENÇÃO","NO PRAZO"))))</f>
        <v>NO PRAZO</v>
      </c>
      <c r="O19" s="4" t="s">
        <v>4</v>
      </c>
      <c r="P19" s="4" t="s">
        <v>2</v>
      </c>
      <c r="Q19" s="4" t="s">
        <v>92</v>
      </c>
      <c r="R19" s="4" t="s">
        <v>6</v>
      </c>
      <c r="S19" s="4" t="s">
        <v>7</v>
      </c>
      <c r="T19" s="3">
        <v>46308</v>
      </c>
      <c r="U19" s="4" t="s">
        <v>17</v>
      </c>
      <c r="V19" s="4" t="s">
        <v>93</v>
      </c>
      <c r="W19" s="4" t="s">
        <v>10</v>
      </c>
      <c r="X19" s="4" t="s">
        <v>19</v>
      </c>
      <c r="Y19" s="4" t="s">
        <v>12</v>
      </c>
      <c r="Z19" s="4" t="s">
        <v>94</v>
      </c>
      <c r="AA19" s="4" t="s">
        <v>6</v>
      </c>
    </row>
    <row r="20" spans="2:27" x14ac:dyDescent="0.25">
      <c r="B20" s="3">
        <v>46308</v>
      </c>
      <c r="C20" s="4" t="s">
        <v>95</v>
      </c>
      <c r="D20" s="14">
        <v>9295303174</v>
      </c>
      <c r="E20" s="4" t="s">
        <v>2</v>
      </c>
      <c r="F20" s="4" t="s">
        <v>97</v>
      </c>
      <c r="G20" s="8">
        <v>5000</v>
      </c>
      <c r="H20" s="8">
        <v>1919</v>
      </c>
      <c r="I20" s="8">
        <v>20000</v>
      </c>
      <c r="J20" s="9">
        <v>14.9</v>
      </c>
      <c r="K20" s="3">
        <f t="shared" si="0"/>
        <v>46315</v>
      </c>
      <c r="L20" s="3"/>
      <c r="M20" s="3"/>
      <c r="N20" s="3" t="str">
        <f ca="1">IF(K20="","",IF(TODAY()&gt;K20,"ATRASADO",IF(TODAY()=K20,"VENCE HOJE",IF(K20-TODAY()&lt;=2,"ATENÇÃO","NO PRAZO"))))</f>
        <v>NO PRAZO</v>
      </c>
      <c r="O20" s="4" t="s">
        <v>4</v>
      </c>
      <c r="P20" s="4" t="s">
        <v>2</v>
      </c>
      <c r="Q20" s="4" t="s">
        <v>98</v>
      </c>
      <c r="R20" s="4" t="s">
        <v>6</v>
      </c>
      <c r="S20" s="4" t="s">
        <v>7</v>
      </c>
      <c r="T20" s="3">
        <v>46308</v>
      </c>
      <c r="U20" s="4" t="s">
        <v>81</v>
      </c>
      <c r="V20" s="4" t="s">
        <v>99</v>
      </c>
      <c r="W20" s="4" t="s">
        <v>10</v>
      </c>
      <c r="X20" s="4" t="s">
        <v>83</v>
      </c>
      <c r="Y20" s="4" t="s">
        <v>49</v>
      </c>
      <c r="Z20" s="4" t="s">
        <v>13</v>
      </c>
      <c r="AA20" s="4" t="s">
        <v>6</v>
      </c>
    </row>
    <row r="21" spans="2:27" x14ac:dyDescent="0.25">
      <c r="B21" s="3">
        <v>46308</v>
      </c>
      <c r="C21" s="4" t="s">
        <v>0</v>
      </c>
      <c r="D21" s="14">
        <v>2720019624</v>
      </c>
      <c r="E21" s="4" t="s">
        <v>2</v>
      </c>
      <c r="F21" s="4" t="s">
        <v>101</v>
      </c>
      <c r="G21" s="8">
        <v>15600</v>
      </c>
      <c r="H21" s="8">
        <v>1931</v>
      </c>
      <c r="I21" s="8">
        <v>10000</v>
      </c>
      <c r="J21" s="9">
        <v>26</v>
      </c>
      <c r="K21" s="3">
        <f t="shared" si="0"/>
        <v>46315</v>
      </c>
      <c r="L21" s="3"/>
      <c r="M21" s="3"/>
      <c r="N21" s="3" t="str">
        <f ca="1">IF(K21="","",IF(TODAY()&gt;K21,"ATRASADO",IF(TODAY()=K21,"VENCE HOJE",IF(K21-TODAY()&lt;=2,"ATENÇÃO","NO PRAZO"))))</f>
        <v>NO PRAZO</v>
      </c>
      <c r="O21" s="4" t="s">
        <v>4</v>
      </c>
      <c r="P21" s="4" t="s">
        <v>2</v>
      </c>
      <c r="Q21" s="4" t="s">
        <v>102</v>
      </c>
      <c r="R21" s="4" t="s">
        <v>6</v>
      </c>
      <c r="S21" s="4" t="s">
        <v>7</v>
      </c>
      <c r="T21" s="3">
        <v>46308</v>
      </c>
      <c r="U21" s="4" t="s">
        <v>17</v>
      </c>
      <c r="V21" s="4" t="s">
        <v>103</v>
      </c>
      <c r="W21" s="4" t="s">
        <v>10</v>
      </c>
      <c r="X21" s="4" t="s">
        <v>19</v>
      </c>
      <c r="Y21" s="4" t="s">
        <v>12</v>
      </c>
      <c r="Z21" s="4" t="s">
        <v>13</v>
      </c>
      <c r="AA21" s="4" t="s">
        <v>6</v>
      </c>
    </row>
    <row r="22" spans="2:27" x14ac:dyDescent="0.25">
      <c r="B22" s="3">
        <v>46301</v>
      </c>
      <c r="C22" s="4" t="s">
        <v>0</v>
      </c>
      <c r="D22" s="14">
        <v>2720019741</v>
      </c>
      <c r="E22" s="4" t="s">
        <v>2</v>
      </c>
      <c r="F22" s="4" t="s">
        <v>110</v>
      </c>
      <c r="G22" s="8">
        <v>702</v>
      </c>
      <c r="H22" s="8">
        <v>2180</v>
      </c>
      <c r="I22" s="8">
        <v>0</v>
      </c>
      <c r="J22" s="9">
        <v>71</v>
      </c>
      <c r="K22" s="3">
        <f t="shared" si="0"/>
        <v>46308</v>
      </c>
      <c r="L22" s="3"/>
      <c r="M22" s="3"/>
      <c r="N22" s="3" t="str">
        <f ca="1">IF(K22="","",IF(TODAY()&gt;K22,"ATRASADO",IF(TODAY()=K22,"VENCE HOJE",IF(K22-TODAY()&lt;=2,"ATENÇÃO","NO PRAZO"))))</f>
        <v>ATRASADO</v>
      </c>
      <c r="O22" s="4" t="s">
        <v>4</v>
      </c>
      <c r="P22" s="4" t="s">
        <v>2</v>
      </c>
      <c r="Q22" s="4" t="s">
        <v>111</v>
      </c>
      <c r="R22" s="4" t="s">
        <v>6</v>
      </c>
      <c r="S22" s="4" t="s">
        <v>7</v>
      </c>
      <c r="T22" s="3">
        <v>46301</v>
      </c>
      <c r="U22" s="4" t="s">
        <v>107</v>
      </c>
      <c r="V22" s="4" t="s">
        <v>112</v>
      </c>
      <c r="W22" s="4" t="s">
        <v>10</v>
      </c>
      <c r="X22" s="4" t="s">
        <v>48</v>
      </c>
      <c r="Y22" s="4" t="s">
        <v>12</v>
      </c>
      <c r="Z22" s="4" t="s">
        <v>13</v>
      </c>
      <c r="AA22" s="4" t="s">
        <v>6</v>
      </c>
    </row>
    <row r="23" spans="2:27" x14ac:dyDescent="0.25">
      <c r="B23" s="3">
        <v>46303</v>
      </c>
      <c r="C23" s="4" t="s">
        <v>0</v>
      </c>
      <c r="D23" s="14">
        <v>2720019316</v>
      </c>
      <c r="E23" s="4" t="s">
        <v>2</v>
      </c>
      <c r="F23" s="4" t="s">
        <v>114</v>
      </c>
      <c r="G23" s="8">
        <v>17000</v>
      </c>
      <c r="H23" s="8">
        <v>2720</v>
      </c>
      <c r="I23" s="8">
        <v>6000</v>
      </c>
      <c r="J23" s="9">
        <v>55</v>
      </c>
      <c r="K23" s="3">
        <f t="shared" si="0"/>
        <v>46310</v>
      </c>
      <c r="L23" s="3"/>
      <c r="M23" s="3"/>
      <c r="N23" s="3" t="str">
        <f ca="1">IF(K23="","",IF(TODAY()&gt;K23,"ATRASADO",IF(TODAY()=K23,"VENCE HOJE",IF(K23-TODAY()&lt;=2,"ATENÇÃO","NO PRAZO"))))</f>
        <v>ATRASADO</v>
      </c>
      <c r="O23" s="4" t="s">
        <v>4</v>
      </c>
      <c r="P23" s="4" t="s">
        <v>2</v>
      </c>
      <c r="Q23" s="4" t="s">
        <v>115</v>
      </c>
      <c r="R23" s="4" t="s">
        <v>6</v>
      </c>
      <c r="S23" s="4" t="s">
        <v>7</v>
      </c>
      <c r="T23" s="3">
        <v>46303</v>
      </c>
      <c r="U23" s="4" t="s">
        <v>27</v>
      </c>
      <c r="V23" s="4" t="s">
        <v>116</v>
      </c>
      <c r="W23" s="4" t="s">
        <v>10</v>
      </c>
      <c r="X23" s="4" t="s">
        <v>11</v>
      </c>
      <c r="Y23" s="4" t="s">
        <v>12</v>
      </c>
      <c r="Z23" s="4" t="s">
        <v>13</v>
      </c>
      <c r="AA23" s="4" t="s">
        <v>6</v>
      </c>
    </row>
    <row r="24" spans="2:27" x14ac:dyDescent="0.25">
      <c r="B24" s="3">
        <v>46301</v>
      </c>
      <c r="C24" s="4" t="s">
        <v>0</v>
      </c>
      <c r="D24" s="14">
        <v>2720019563</v>
      </c>
      <c r="E24" s="4" t="s">
        <v>2</v>
      </c>
      <c r="F24" s="4" t="s">
        <v>118</v>
      </c>
      <c r="G24" s="8">
        <v>15400</v>
      </c>
      <c r="H24" s="8">
        <v>3225</v>
      </c>
      <c r="I24" s="8">
        <v>5000</v>
      </c>
      <c r="J24" s="9">
        <v>999.9</v>
      </c>
      <c r="K24" s="3">
        <f t="shared" si="0"/>
        <v>46308</v>
      </c>
      <c r="L24" s="3"/>
      <c r="M24" s="3"/>
      <c r="N24" s="3" t="str">
        <f ca="1">IF(K24="","",IF(TODAY()&gt;K24,"ATRASADO",IF(TODAY()=K24,"VENCE HOJE",IF(K24-TODAY()&lt;=2,"ATENÇÃO","NO PRAZO"))))</f>
        <v>ATRASADO</v>
      </c>
      <c r="O24" s="4" t="s">
        <v>4</v>
      </c>
      <c r="P24" s="4" t="s">
        <v>2</v>
      </c>
      <c r="Q24" s="4" t="s">
        <v>119</v>
      </c>
      <c r="R24" s="4" t="s">
        <v>6</v>
      </c>
      <c r="S24" s="4" t="s">
        <v>7</v>
      </c>
      <c r="T24" s="3">
        <v>46301</v>
      </c>
      <c r="U24" s="4" t="s">
        <v>17</v>
      </c>
      <c r="V24" s="4" t="s">
        <v>120</v>
      </c>
      <c r="W24" s="4" t="s">
        <v>10</v>
      </c>
      <c r="X24" s="4" t="s">
        <v>19</v>
      </c>
      <c r="Y24" s="4" t="s">
        <v>12</v>
      </c>
      <c r="Z24" s="4" t="s">
        <v>13</v>
      </c>
      <c r="AA24" s="4" t="s">
        <v>6</v>
      </c>
    </row>
    <row r="25" spans="2:27" x14ac:dyDescent="0.25">
      <c r="B25" s="3">
        <v>46308</v>
      </c>
      <c r="C25" s="4" t="s">
        <v>0</v>
      </c>
      <c r="D25" s="14">
        <v>2720018730</v>
      </c>
      <c r="E25" s="4" t="s">
        <v>2</v>
      </c>
      <c r="F25" s="4" t="s">
        <v>122</v>
      </c>
      <c r="G25" s="8">
        <v>6000</v>
      </c>
      <c r="H25" s="8">
        <v>3377</v>
      </c>
      <c r="I25" s="8">
        <v>2000</v>
      </c>
      <c r="J25" s="9">
        <v>5.5</v>
      </c>
      <c r="K25" s="3">
        <f t="shared" si="0"/>
        <v>46315</v>
      </c>
      <c r="L25" s="3"/>
      <c r="M25" s="3"/>
      <c r="N25" s="3" t="str">
        <f ca="1">IF(K25="","",IF(TODAY()&gt;K25,"ATRASADO",IF(TODAY()=K25,"VENCE HOJE",IF(K25-TODAY()&lt;=2,"ATENÇÃO","NO PRAZO"))))</f>
        <v>NO PRAZO</v>
      </c>
      <c r="O25" s="4" t="s">
        <v>4</v>
      </c>
      <c r="P25" s="4" t="s">
        <v>2</v>
      </c>
      <c r="Q25" s="4" t="s">
        <v>123</v>
      </c>
      <c r="R25" s="4" t="s">
        <v>6</v>
      </c>
      <c r="S25" s="4" t="s">
        <v>7</v>
      </c>
      <c r="T25" s="3">
        <v>46308</v>
      </c>
      <c r="U25" s="4" t="s">
        <v>17</v>
      </c>
      <c r="V25" s="4" t="s">
        <v>124</v>
      </c>
      <c r="W25" s="4" t="s">
        <v>10</v>
      </c>
      <c r="X25" s="4" t="s">
        <v>19</v>
      </c>
      <c r="Y25" s="4" t="s">
        <v>12</v>
      </c>
      <c r="Z25" s="4" t="s">
        <v>13</v>
      </c>
      <c r="AA25" s="4" t="s">
        <v>6</v>
      </c>
    </row>
    <row r="26" spans="2:27" x14ac:dyDescent="0.25">
      <c r="B26" s="3">
        <v>46302</v>
      </c>
      <c r="C26" s="4" t="s">
        <v>0</v>
      </c>
      <c r="D26" s="14">
        <v>2720019235</v>
      </c>
      <c r="E26" s="4" t="s">
        <v>2</v>
      </c>
      <c r="F26" s="4" t="s">
        <v>126</v>
      </c>
      <c r="G26" s="8">
        <v>6122</v>
      </c>
      <c r="H26" s="8">
        <v>4269</v>
      </c>
      <c r="I26" s="8">
        <v>0</v>
      </c>
      <c r="J26" s="9">
        <v>7.4</v>
      </c>
      <c r="K26" s="3">
        <f t="shared" si="0"/>
        <v>46309</v>
      </c>
      <c r="L26" s="3"/>
      <c r="M26" s="3"/>
      <c r="N26" s="3" t="str">
        <f ca="1">IF(K26="","",IF(TODAY()&gt;K26,"ATRASADO",IF(TODAY()=K26,"VENCE HOJE",IF(K26-TODAY()&lt;=2,"ATENÇÃO","NO PRAZO"))))</f>
        <v>ATRASADO</v>
      </c>
      <c r="O26" s="4" t="s">
        <v>4</v>
      </c>
      <c r="P26" s="4" t="s">
        <v>2</v>
      </c>
      <c r="Q26" s="4" t="s">
        <v>127</v>
      </c>
      <c r="R26" s="4" t="s">
        <v>6</v>
      </c>
      <c r="S26" s="4" t="s">
        <v>7</v>
      </c>
      <c r="T26" s="3">
        <v>46302</v>
      </c>
      <c r="U26" s="4" t="s">
        <v>76</v>
      </c>
      <c r="V26" s="4" t="s">
        <v>128</v>
      </c>
      <c r="W26" s="4" t="s">
        <v>10</v>
      </c>
      <c r="X26" s="4" t="s">
        <v>11</v>
      </c>
      <c r="Y26" s="4" t="s">
        <v>12</v>
      </c>
      <c r="Z26" s="4" t="s">
        <v>13</v>
      </c>
      <c r="AA26" s="4" t="s">
        <v>6</v>
      </c>
    </row>
    <row r="27" spans="2:27" x14ac:dyDescent="0.25">
      <c r="B27" s="3">
        <v>46300</v>
      </c>
      <c r="C27" s="4" t="s">
        <v>0</v>
      </c>
      <c r="D27" s="14">
        <v>2720019632</v>
      </c>
      <c r="E27" s="4" t="s">
        <v>2</v>
      </c>
      <c r="F27" s="4" t="s">
        <v>130</v>
      </c>
      <c r="G27" s="8">
        <v>17600</v>
      </c>
      <c r="H27" s="8">
        <v>5127</v>
      </c>
      <c r="I27" s="8">
        <v>50000</v>
      </c>
      <c r="J27" s="9">
        <v>0</v>
      </c>
      <c r="K27" s="3">
        <f t="shared" si="0"/>
        <v>46307</v>
      </c>
      <c r="L27" s="3"/>
      <c r="M27" s="3"/>
      <c r="N27" s="3" t="str">
        <f ca="1">IF(K27="","",IF(TODAY()&gt;K27,"ATRASADO",IF(TODAY()=K27,"VENCE HOJE",IF(K27-TODAY()&lt;=2,"ATENÇÃO","NO PRAZO"))))</f>
        <v>ATRASADO</v>
      </c>
      <c r="O27" s="4" t="s">
        <v>4</v>
      </c>
      <c r="P27" s="4" t="s">
        <v>2</v>
      </c>
      <c r="Q27" s="4" t="s">
        <v>133</v>
      </c>
      <c r="R27" s="4" t="s">
        <v>6</v>
      </c>
      <c r="S27" s="4" t="s">
        <v>7</v>
      </c>
      <c r="T27" s="3">
        <v>46300</v>
      </c>
      <c r="U27" s="4" t="s">
        <v>17</v>
      </c>
      <c r="V27" s="4" t="s">
        <v>134</v>
      </c>
      <c r="W27" s="4" t="s">
        <v>10</v>
      </c>
      <c r="X27" s="4" t="s">
        <v>19</v>
      </c>
      <c r="Y27" s="4" t="s">
        <v>12</v>
      </c>
      <c r="Z27" s="4" t="s">
        <v>13</v>
      </c>
      <c r="AA27" s="4" t="s">
        <v>6</v>
      </c>
    </row>
    <row r="28" spans="2:27" x14ac:dyDescent="0.25">
      <c r="B28" s="3">
        <v>46300</v>
      </c>
      <c r="C28" s="4" t="s">
        <v>0</v>
      </c>
      <c r="D28" s="14">
        <v>2720019632</v>
      </c>
      <c r="E28" s="4" t="s">
        <v>2</v>
      </c>
      <c r="F28" s="4" t="s">
        <v>130</v>
      </c>
      <c r="G28" s="8">
        <v>27600</v>
      </c>
      <c r="H28" s="8">
        <v>5127</v>
      </c>
      <c r="I28" s="8">
        <v>50000</v>
      </c>
      <c r="J28" s="9">
        <v>0</v>
      </c>
      <c r="K28" s="3">
        <f t="shared" si="0"/>
        <v>46307</v>
      </c>
      <c r="L28" s="3"/>
      <c r="M28" s="3"/>
      <c r="N28" s="3" t="str">
        <f ca="1">IF(K28="","",IF(TODAY()&gt;K28,"ATRASADO",IF(TODAY()=K28,"VENCE HOJE",IF(K28-TODAY()&lt;=2,"ATENÇÃO","NO PRAZO"))))</f>
        <v>ATRASADO</v>
      </c>
      <c r="O28" s="4" t="s">
        <v>4</v>
      </c>
      <c r="P28" s="4" t="s">
        <v>2</v>
      </c>
      <c r="Q28" s="4" t="s">
        <v>135</v>
      </c>
      <c r="R28" s="4" t="s">
        <v>6</v>
      </c>
      <c r="S28" s="4" t="s">
        <v>7</v>
      </c>
      <c r="T28" s="3">
        <v>46300</v>
      </c>
      <c r="U28" s="4" t="s">
        <v>17</v>
      </c>
      <c r="V28" s="4" t="s">
        <v>136</v>
      </c>
      <c r="W28" s="4" t="s">
        <v>10</v>
      </c>
      <c r="X28" s="4" t="s">
        <v>19</v>
      </c>
      <c r="Y28" s="4" t="s">
        <v>12</v>
      </c>
      <c r="Z28" s="4" t="s">
        <v>13</v>
      </c>
      <c r="AA28" s="4" t="s">
        <v>6</v>
      </c>
    </row>
    <row r="29" spans="2:27" x14ac:dyDescent="0.25">
      <c r="B29" s="3">
        <v>46301</v>
      </c>
      <c r="C29" s="4" t="s">
        <v>0</v>
      </c>
      <c r="D29" s="14">
        <v>2720019632</v>
      </c>
      <c r="E29" s="4" t="s">
        <v>2</v>
      </c>
      <c r="F29" s="4" t="s">
        <v>130</v>
      </c>
      <c r="G29" s="8">
        <v>16600</v>
      </c>
      <c r="H29" s="8">
        <v>5127</v>
      </c>
      <c r="I29" s="8">
        <v>50000</v>
      </c>
      <c r="J29" s="9">
        <v>0</v>
      </c>
      <c r="K29" s="3">
        <f t="shared" si="0"/>
        <v>46308</v>
      </c>
      <c r="L29" s="3"/>
      <c r="M29" s="3"/>
      <c r="N29" s="3" t="str">
        <f ca="1">IF(K29="","",IF(TODAY()&gt;K29,"ATRASADO",IF(TODAY()=K29,"VENCE HOJE",IF(K29-TODAY()&lt;=2,"ATENÇÃO","NO PRAZO"))))</f>
        <v>ATRASADO</v>
      </c>
      <c r="O29" s="4" t="s">
        <v>4</v>
      </c>
      <c r="P29" s="4" t="s">
        <v>2</v>
      </c>
      <c r="Q29" s="4" t="s">
        <v>131</v>
      </c>
      <c r="R29" s="4" t="s">
        <v>6</v>
      </c>
      <c r="S29" s="4" t="s">
        <v>7</v>
      </c>
      <c r="T29" s="3">
        <v>46301</v>
      </c>
      <c r="U29" s="4" t="s">
        <v>17</v>
      </c>
      <c r="V29" s="4" t="s">
        <v>132</v>
      </c>
      <c r="W29" s="4" t="s">
        <v>10</v>
      </c>
      <c r="X29" s="4" t="s">
        <v>19</v>
      </c>
      <c r="Y29" s="4" t="s">
        <v>12</v>
      </c>
      <c r="Z29" s="4" t="s">
        <v>13</v>
      </c>
      <c r="AA29" s="4" t="s">
        <v>6</v>
      </c>
    </row>
    <row r="30" spans="2:27" x14ac:dyDescent="0.25">
      <c r="B30" s="3">
        <v>46308</v>
      </c>
      <c r="C30" s="4" t="s">
        <v>42</v>
      </c>
      <c r="D30" s="14">
        <v>2730019119</v>
      </c>
      <c r="E30" s="4" t="s">
        <v>2</v>
      </c>
      <c r="F30" s="4" t="s">
        <v>138</v>
      </c>
      <c r="G30" s="8">
        <v>3200</v>
      </c>
      <c r="H30" s="8">
        <v>7403</v>
      </c>
      <c r="I30" s="8">
        <v>10000</v>
      </c>
      <c r="J30" s="9">
        <v>13.4</v>
      </c>
      <c r="K30" s="3">
        <f t="shared" si="0"/>
        <v>46315</v>
      </c>
      <c r="L30" s="3"/>
      <c r="M30" s="3"/>
      <c r="N30" s="3" t="str">
        <f ca="1">IF(K30="","",IF(TODAY()&gt;K30,"ATRASADO",IF(TODAY()=K30,"VENCE HOJE",IF(K30-TODAY()&lt;=2,"ATENÇÃO","NO PRAZO"))))</f>
        <v>NO PRAZO</v>
      </c>
      <c r="O30" s="4" t="s">
        <v>4</v>
      </c>
      <c r="P30" s="4" t="s">
        <v>2</v>
      </c>
      <c r="Q30" s="4" t="s">
        <v>141</v>
      </c>
      <c r="R30" s="4" t="s">
        <v>6</v>
      </c>
      <c r="S30" s="4" t="s">
        <v>7</v>
      </c>
      <c r="T30" s="3">
        <v>46308</v>
      </c>
      <c r="U30" s="4" t="s">
        <v>81</v>
      </c>
      <c r="V30" s="4" t="s">
        <v>142</v>
      </c>
      <c r="W30" s="4" t="s">
        <v>10</v>
      </c>
      <c r="X30" s="4" t="s">
        <v>83</v>
      </c>
      <c r="Y30" s="4" t="s">
        <v>12</v>
      </c>
      <c r="Z30" s="4" t="s">
        <v>13</v>
      </c>
      <c r="AA30" s="4" t="s">
        <v>6</v>
      </c>
    </row>
    <row r="31" spans="2:27" x14ac:dyDescent="0.25">
      <c r="B31" s="3">
        <v>46309</v>
      </c>
      <c r="C31" s="4" t="s">
        <v>42</v>
      </c>
      <c r="D31" s="14">
        <v>2730019119</v>
      </c>
      <c r="E31" s="4" t="s">
        <v>2</v>
      </c>
      <c r="F31" s="4" t="s">
        <v>138</v>
      </c>
      <c r="G31" s="8">
        <v>3200</v>
      </c>
      <c r="H31" s="8">
        <v>7403</v>
      </c>
      <c r="I31" s="8">
        <v>10000</v>
      </c>
      <c r="J31" s="9">
        <v>13.4</v>
      </c>
      <c r="K31" s="3">
        <f t="shared" si="0"/>
        <v>46316</v>
      </c>
      <c r="L31" s="3"/>
      <c r="M31" s="3"/>
      <c r="N31" s="3" t="str">
        <f ca="1">IF(K31="","",IF(TODAY()&gt;K31,"ATRASADO",IF(TODAY()=K31,"VENCE HOJE",IF(K31-TODAY()&lt;=2,"ATENÇÃO","NO PRAZO"))))</f>
        <v>NO PRAZO</v>
      </c>
      <c r="O31" s="4" t="s">
        <v>4</v>
      </c>
      <c r="P31" s="4" t="s">
        <v>2</v>
      </c>
      <c r="Q31" s="4" t="s">
        <v>139</v>
      </c>
      <c r="R31" s="4" t="s">
        <v>6</v>
      </c>
      <c r="S31" s="4" t="s">
        <v>7</v>
      </c>
      <c r="T31" s="3">
        <v>46309</v>
      </c>
      <c r="U31" s="4" t="s">
        <v>81</v>
      </c>
      <c r="V31" s="4" t="s">
        <v>140</v>
      </c>
      <c r="W31" s="4" t="s">
        <v>10</v>
      </c>
      <c r="X31" s="4" t="s">
        <v>83</v>
      </c>
      <c r="Y31" s="4" t="s">
        <v>12</v>
      </c>
      <c r="Z31" s="4" t="s">
        <v>13</v>
      </c>
      <c r="AA31" s="4" t="s">
        <v>6</v>
      </c>
    </row>
    <row r="32" spans="2:27" x14ac:dyDescent="0.25">
      <c r="B32" s="3">
        <v>46296</v>
      </c>
      <c r="C32" s="4" t="s">
        <v>0</v>
      </c>
      <c r="D32" s="14">
        <v>2720019498</v>
      </c>
      <c r="E32" s="4" t="s">
        <v>2</v>
      </c>
      <c r="F32" s="4" t="s">
        <v>144</v>
      </c>
      <c r="G32" s="8">
        <v>3915</v>
      </c>
      <c r="H32" s="8">
        <v>7697</v>
      </c>
      <c r="I32" s="8">
        <v>5000</v>
      </c>
      <c r="J32" s="9">
        <v>49</v>
      </c>
      <c r="K32" s="3">
        <f t="shared" ref="K32:K63" si="1">B32+7</f>
        <v>46303</v>
      </c>
      <c r="L32" s="3"/>
      <c r="M32" s="3"/>
      <c r="N32" s="3" t="str">
        <f t="shared" ref="N32:N63" ca="1" si="2">IF(K32="","",IF(TODAY()&gt;K32,"ATRASADO",IF(TODAY()=K32,"VENCE HOJE",IF(K32-TODAY()&lt;=2,"ATENÇÃO","NO PRAZO"))))</f>
        <v>ATRASADO</v>
      </c>
      <c r="O32" s="4" t="s">
        <v>4</v>
      </c>
      <c r="P32" s="4" t="s">
        <v>2</v>
      </c>
      <c r="Q32" s="4" t="s">
        <v>145</v>
      </c>
      <c r="R32" s="4" t="s">
        <v>6</v>
      </c>
      <c r="S32" s="4" t="s">
        <v>7</v>
      </c>
      <c r="T32" s="3">
        <v>46296</v>
      </c>
      <c r="U32" s="4" t="s">
        <v>8</v>
      </c>
      <c r="V32" s="4" t="s">
        <v>146</v>
      </c>
      <c r="W32" s="4" t="s">
        <v>10</v>
      </c>
      <c r="X32" s="4" t="s">
        <v>11</v>
      </c>
      <c r="Y32" s="4" t="s">
        <v>12</v>
      </c>
      <c r="Z32" s="4" t="s">
        <v>13</v>
      </c>
      <c r="AA32" s="4" t="s">
        <v>6</v>
      </c>
    </row>
    <row r="33" spans="2:27" x14ac:dyDescent="0.25">
      <c r="B33" s="3">
        <v>46300</v>
      </c>
      <c r="C33" s="4" t="s">
        <v>0</v>
      </c>
      <c r="D33" s="14">
        <v>2720019562</v>
      </c>
      <c r="E33" s="4" t="s">
        <v>2</v>
      </c>
      <c r="F33" s="4" t="s">
        <v>148</v>
      </c>
      <c r="G33" s="8">
        <v>15200</v>
      </c>
      <c r="H33" s="8">
        <v>7704</v>
      </c>
      <c r="I33" s="8">
        <v>8000</v>
      </c>
      <c r="J33" s="9">
        <v>71</v>
      </c>
      <c r="K33" s="3">
        <f t="shared" si="1"/>
        <v>46307</v>
      </c>
      <c r="L33" s="3"/>
      <c r="M33" s="3"/>
      <c r="N33" s="3" t="str">
        <f t="shared" ca="1" si="2"/>
        <v>ATRASADO</v>
      </c>
      <c r="O33" s="4" t="s">
        <v>4</v>
      </c>
      <c r="P33" s="4" t="s">
        <v>2</v>
      </c>
      <c r="Q33" s="4" t="s">
        <v>149</v>
      </c>
      <c r="R33" s="4" t="s">
        <v>6</v>
      </c>
      <c r="S33" s="4" t="s">
        <v>7</v>
      </c>
      <c r="T33" s="3">
        <v>46300</v>
      </c>
      <c r="U33" s="4" t="s">
        <v>17</v>
      </c>
      <c r="V33" s="4" t="s">
        <v>150</v>
      </c>
      <c r="W33" s="4" t="s">
        <v>10</v>
      </c>
      <c r="X33" s="4" t="s">
        <v>19</v>
      </c>
      <c r="Y33" s="4" t="s">
        <v>12</v>
      </c>
      <c r="Z33" s="4" t="s">
        <v>13</v>
      </c>
      <c r="AA33" s="4" t="s">
        <v>6</v>
      </c>
    </row>
    <row r="34" spans="2:27" x14ac:dyDescent="0.25">
      <c r="B34" s="3">
        <v>46300</v>
      </c>
      <c r="C34" s="4" t="s">
        <v>0</v>
      </c>
      <c r="D34" s="14">
        <v>2720019458</v>
      </c>
      <c r="E34" s="4" t="s">
        <v>2</v>
      </c>
      <c r="F34" s="4" t="s">
        <v>152</v>
      </c>
      <c r="G34" s="8">
        <v>6000</v>
      </c>
      <c r="H34" s="8">
        <v>7937</v>
      </c>
      <c r="I34" s="8">
        <v>6000</v>
      </c>
      <c r="J34" s="9">
        <v>71</v>
      </c>
      <c r="K34" s="3">
        <f t="shared" si="1"/>
        <v>46307</v>
      </c>
      <c r="L34" s="3"/>
      <c r="M34" s="3"/>
      <c r="N34" s="3" t="str">
        <f t="shared" ca="1" si="2"/>
        <v>ATRASADO</v>
      </c>
      <c r="O34" s="4" t="s">
        <v>4</v>
      </c>
      <c r="P34" s="4" t="s">
        <v>2</v>
      </c>
      <c r="Q34" s="4" t="s">
        <v>153</v>
      </c>
      <c r="R34" s="4" t="s">
        <v>6</v>
      </c>
      <c r="S34" s="4" t="s">
        <v>7</v>
      </c>
      <c r="T34" s="3">
        <v>46300</v>
      </c>
      <c r="U34" s="4" t="s">
        <v>17</v>
      </c>
      <c r="V34" s="4" t="s">
        <v>154</v>
      </c>
      <c r="W34" s="4" t="s">
        <v>10</v>
      </c>
      <c r="X34" s="4" t="s">
        <v>19</v>
      </c>
      <c r="Y34" s="4" t="s">
        <v>12</v>
      </c>
      <c r="Z34" s="4" t="s">
        <v>13</v>
      </c>
      <c r="AA34" s="4" t="s">
        <v>6</v>
      </c>
    </row>
    <row r="35" spans="2:27" x14ac:dyDescent="0.25">
      <c r="B35" s="3">
        <v>46286</v>
      </c>
      <c r="C35" s="4" t="s">
        <v>95</v>
      </c>
      <c r="D35" s="14">
        <v>9295304413</v>
      </c>
      <c r="E35" s="4" t="s">
        <v>2</v>
      </c>
      <c r="F35" s="4" t="s">
        <v>156</v>
      </c>
      <c r="G35" s="8">
        <v>2100</v>
      </c>
      <c r="H35" s="8">
        <v>7949</v>
      </c>
      <c r="I35" s="8">
        <v>10000</v>
      </c>
      <c r="J35" s="9">
        <v>64.599999999999994</v>
      </c>
      <c r="K35" s="3">
        <f t="shared" si="1"/>
        <v>46293</v>
      </c>
      <c r="L35" s="3"/>
      <c r="M35" s="3"/>
      <c r="N35" s="3" t="str">
        <f t="shared" ca="1" si="2"/>
        <v>ATRASADO</v>
      </c>
      <c r="O35" s="4" t="s">
        <v>4</v>
      </c>
      <c r="P35" s="4" t="s">
        <v>2</v>
      </c>
      <c r="Q35" s="4" t="s">
        <v>157</v>
      </c>
      <c r="R35" s="4" t="s">
        <v>6</v>
      </c>
      <c r="S35" s="4" t="s">
        <v>7</v>
      </c>
      <c r="T35" s="3">
        <v>46286</v>
      </c>
      <c r="U35" s="4" t="s">
        <v>158</v>
      </c>
      <c r="V35" s="4" t="s">
        <v>159</v>
      </c>
      <c r="W35" s="4" t="s">
        <v>10</v>
      </c>
      <c r="X35" s="4" t="s">
        <v>48</v>
      </c>
      <c r="Y35" s="4" t="s">
        <v>49</v>
      </c>
      <c r="Z35" s="4" t="s">
        <v>13</v>
      </c>
      <c r="AA35" s="4" t="s">
        <v>6</v>
      </c>
    </row>
    <row r="36" spans="2:27" x14ac:dyDescent="0.25">
      <c r="B36" s="3">
        <v>46288</v>
      </c>
      <c r="C36" s="4" t="s">
        <v>95</v>
      </c>
      <c r="D36" s="14">
        <v>9295304413</v>
      </c>
      <c r="E36" s="4" t="s">
        <v>2</v>
      </c>
      <c r="F36" s="4" t="s">
        <v>156</v>
      </c>
      <c r="G36" s="8">
        <v>1400</v>
      </c>
      <c r="H36" s="8">
        <v>7949</v>
      </c>
      <c r="I36" s="8">
        <v>10000</v>
      </c>
      <c r="J36" s="9">
        <v>64.599999999999994</v>
      </c>
      <c r="K36" s="3">
        <f t="shared" si="1"/>
        <v>46295</v>
      </c>
      <c r="L36" s="3"/>
      <c r="M36" s="3"/>
      <c r="N36" s="3" t="str">
        <f t="shared" ca="1" si="2"/>
        <v>ATRASADO</v>
      </c>
      <c r="O36" s="4" t="s">
        <v>4</v>
      </c>
      <c r="P36" s="4" t="s">
        <v>2</v>
      </c>
      <c r="Q36" s="4" t="s">
        <v>160</v>
      </c>
      <c r="R36" s="4" t="s">
        <v>6</v>
      </c>
      <c r="S36" s="4" t="s">
        <v>7</v>
      </c>
      <c r="T36" s="3">
        <v>46288</v>
      </c>
      <c r="U36" s="4" t="s">
        <v>158</v>
      </c>
      <c r="V36" s="4" t="s">
        <v>159</v>
      </c>
      <c r="W36" s="4" t="s">
        <v>10</v>
      </c>
      <c r="X36" s="4" t="s">
        <v>48</v>
      </c>
      <c r="Y36" s="4" t="s">
        <v>49</v>
      </c>
      <c r="Z36" s="4" t="s">
        <v>13</v>
      </c>
      <c r="AA36" s="4" t="s">
        <v>6</v>
      </c>
    </row>
    <row r="37" spans="2:27" x14ac:dyDescent="0.25">
      <c r="B37" s="3">
        <v>46288</v>
      </c>
      <c r="C37" s="4" t="s">
        <v>95</v>
      </c>
      <c r="D37" s="14">
        <v>9295304413</v>
      </c>
      <c r="E37" s="4" t="s">
        <v>2</v>
      </c>
      <c r="F37" s="4" t="s">
        <v>156</v>
      </c>
      <c r="G37" s="8">
        <v>1400</v>
      </c>
      <c r="H37" s="8">
        <v>7949</v>
      </c>
      <c r="I37" s="8">
        <v>10000</v>
      </c>
      <c r="J37" s="9">
        <v>64.599999999999994</v>
      </c>
      <c r="K37" s="3">
        <f t="shared" si="1"/>
        <v>46295</v>
      </c>
      <c r="L37" s="3"/>
      <c r="M37" s="3"/>
      <c r="N37" s="3" t="str">
        <f t="shared" ca="1" si="2"/>
        <v>ATRASADO</v>
      </c>
      <c r="O37" s="4" t="s">
        <v>4</v>
      </c>
      <c r="P37" s="4" t="s">
        <v>2</v>
      </c>
      <c r="Q37" s="4" t="s">
        <v>161</v>
      </c>
      <c r="R37" s="4" t="s">
        <v>6</v>
      </c>
      <c r="S37" s="4" t="s">
        <v>7</v>
      </c>
      <c r="T37" s="3">
        <v>46288</v>
      </c>
      <c r="U37" s="4" t="s">
        <v>158</v>
      </c>
      <c r="V37" s="4" t="s">
        <v>159</v>
      </c>
      <c r="W37" s="4" t="s">
        <v>10</v>
      </c>
      <c r="X37" s="4" t="s">
        <v>48</v>
      </c>
      <c r="Y37" s="4" t="s">
        <v>49</v>
      </c>
      <c r="Z37" s="4" t="s">
        <v>13</v>
      </c>
      <c r="AA37" s="4" t="s">
        <v>6</v>
      </c>
    </row>
    <row r="38" spans="2:27" x14ac:dyDescent="0.25">
      <c r="B38" s="3">
        <v>46294</v>
      </c>
      <c r="C38" s="4" t="s">
        <v>95</v>
      </c>
      <c r="D38" s="14">
        <v>9295304413</v>
      </c>
      <c r="E38" s="4" t="s">
        <v>2</v>
      </c>
      <c r="F38" s="4" t="s">
        <v>156</v>
      </c>
      <c r="G38" s="8">
        <v>2800</v>
      </c>
      <c r="H38" s="8">
        <v>7949</v>
      </c>
      <c r="I38" s="8">
        <v>10000</v>
      </c>
      <c r="J38" s="9">
        <v>64.599999999999994</v>
      </c>
      <c r="K38" s="3">
        <f t="shared" si="1"/>
        <v>46301</v>
      </c>
      <c r="L38" s="3"/>
      <c r="M38" s="3"/>
      <c r="N38" s="3" t="str">
        <f t="shared" ca="1" si="2"/>
        <v>ATRASADO</v>
      </c>
      <c r="O38" s="4" t="s">
        <v>4</v>
      </c>
      <c r="P38" s="4" t="s">
        <v>2</v>
      </c>
      <c r="Q38" s="4" t="s">
        <v>164</v>
      </c>
      <c r="R38" s="4" t="s">
        <v>6</v>
      </c>
      <c r="S38" s="4" t="s">
        <v>7</v>
      </c>
      <c r="T38" s="3">
        <v>46294</v>
      </c>
      <c r="U38" s="4" t="s">
        <v>158</v>
      </c>
      <c r="V38" s="4" t="s">
        <v>159</v>
      </c>
      <c r="W38" s="4" t="s">
        <v>10</v>
      </c>
      <c r="X38" s="4" t="s">
        <v>48</v>
      </c>
      <c r="Y38" s="4" t="s">
        <v>49</v>
      </c>
      <c r="Z38" s="4" t="s">
        <v>13</v>
      </c>
      <c r="AA38" s="4" t="s">
        <v>6</v>
      </c>
    </row>
    <row r="39" spans="2:27" x14ac:dyDescent="0.25">
      <c r="B39" s="3">
        <v>46300</v>
      </c>
      <c r="C39" s="4" t="s">
        <v>95</v>
      </c>
      <c r="D39" s="14">
        <v>9295304413</v>
      </c>
      <c r="E39" s="4" t="s">
        <v>2</v>
      </c>
      <c r="F39" s="4" t="s">
        <v>156</v>
      </c>
      <c r="G39" s="8">
        <v>800</v>
      </c>
      <c r="H39" s="8">
        <v>7949</v>
      </c>
      <c r="I39" s="8">
        <v>10000</v>
      </c>
      <c r="J39" s="9">
        <v>64.599999999999994</v>
      </c>
      <c r="K39" s="3">
        <f t="shared" si="1"/>
        <v>46307</v>
      </c>
      <c r="L39" s="3"/>
      <c r="M39" s="3"/>
      <c r="N39" s="3" t="str">
        <f t="shared" ca="1" si="2"/>
        <v>ATRASADO</v>
      </c>
      <c r="O39" s="4" t="s">
        <v>4</v>
      </c>
      <c r="P39" s="4" t="s">
        <v>2</v>
      </c>
      <c r="Q39" s="4" t="s">
        <v>162</v>
      </c>
      <c r="R39" s="4" t="s">
        <v>6</v>
      </c>
      <c r="S39" s="4" t="s">
        <v>7</v>
      </c>
      <c r="T39" s="3">
        <v>46300</v>
      </c>
      <c r="U39" s="4" t="s">
        <v>158</v>
      </c>
      <c r="V39" s="4" t="s">
        <v>163</v>
      </c>
      <c r="W39" s="4" t="s">
        <v>10</v>
      </c>
      <c r="X39" s="4" t="s">
        <v>48</v>
      </c>
      <c r="Y39" s="4" t="s">
        <v>49</v>
      </c>
      <c r="Z39" s="4" t="s">
        <v>13</v>
      </c>
      <c r="AA39" s="4" t="s">
        <v>6</v>
      </c>
    </row>
    <row r="40" spans="2:27" x14ac:dyDescent="0.25">
      <c r="B40" s="3">
        <v>46300</v>
      </c>
      <c r="C40" s="4" t="s">
        <v>95</v>
      </c>
      <c r="D40" s="14">
        <v>9295304413</v>
      </c>
      <c r="E40" s="4" t="s">
        <v>2</v>
      </c>
      <c r="F40" s="4" t="s">
        <v>156</v>
      </c>
      <c r="G40" s="8">
        <v>2800</v>
      </c>
      <c r="H40" s="8">
        <v>7949</v>
      </c>
      <c r="I40" s="8">
        <v>10000</v>
      </c>
      <c r="J40" s="9">
        <v>64.599999999999994</v>
      </c>
      <c r="K40" s="3">
        <f t="shared" si="1"/>
        <v>46307</v>
      </c>
      <c r="L40" s="3"/>
      <c r="M40" s="3"/>
      <c r="N40" s="3" t="str">
        <f t="shared" ca="1" si="2"/>
        <v>ATRASADO</v>
      </c>
      <c r="O40" s="4" t="s">
        <v>4</v>
      </c>
      <c r="P40" s="4" t="s">
        <v>2</v>
      </c>
      <c r="Q40" s="4" t="s">
        <v>165</v>
      </c>
      <c r="R40" s="4" t="s">
        <v>6</v>
      </c>
      <c r="S40" s="4" t="s">
        <v>7</v>
      </c>
      <c r="T40" s="3">
        <v>46300</v>
      </c>
      <c r="U40" s="4" t="s">
        <v>158</v>
      </c>
      <c r="V40" s="4" t="s">
        <v>159</v>
      </c>
      <c r="W40" s="4" t="s">
        <v>10</v>
      </c>
      <c r="X40" s="4" t="s">
        <v>48</v>
      </c>
      <c r="Y40" s="4" t="s">
        <v>49</v>
      </c>
      <c r="Z40" s="4" t="s">
        <v>13</v>
      </c>
      <c r="AA40" s="4" t="s">
        <v>6</v>
      </c>
    </row>
    <row r="41" spans="2:27" x14ac:dyDescent="0.25">
      <c r="B41" s="3">
        <v>46267</v>
      </c>
      <c r="C41" s="4" t="s">
        <v>0</v>
      </c>
      <c r="D41" s="14">
        <v>2720019456</v>
      </c>
      <c r="E41" s="4" t="s">
        <v>2</v>
      </c>
      <c r="F41" s="4" t="s">
        <v>167</v>
      </c>
      <c r="G41" s="8">
        <v>1125</v>
      </c>
      <c r="H41" s="8">
        <v>8753</v>
      </c>
      <c r="I41" s="8">
        <v>7000</v>
      </c>
      <c r="J41" s="9">
        <v>37</v>
      </c>
      <c r="K41" s="3">
        <f t="shared" si="1"/>
        <v>46274</v>
      </c>
      <c r="L41" s="3"/>
      <c r="M41" s="3"/>
      <c r="N41" s="3" t="str">
        <f t="shared" ca="1" si="2"/>
        <v>ATRASADO</v>
      </c>
      <c r="O41" s="4" t="s">
        <v>4</v>
      </c>
      <c r="P41" s="4" t="s">
        <v>2</v>
      </c>
      <c r="Q41" s="4" t="s">
        <v>168</v>
      </c>
      <c r="R41" s="4" t="s">
        <v>6</v>
      </c>
      <c r="S41" s="4" t="s">
        <v>169</v>
      </c>
      <c r="T41" s="3">
        <v>46267</v>
      </c>
      <c r="U41" s="4" t="s">
        <v>8</v>
      </c>
      <c r="V41" s="4" t="s">
        <v>170</v>
      </c>
      <c r="W41" s="4" t="s">
        <v>10</v>
      </c>
      <c r="X41" s="4" t="s">
        <v>11</v>
      </c>
      <c r="Y41" s="4" t="s">
        <v>12</v>
      </c>
      <c r="Z41" s="4" t="s">
        <v>13</v>
      </c>
      <c r="AA41" s="4" t="s">
        <v>6</v>
      </c>
    </row>
    <row r="42" spans="2:27" x14ac:dyDescent="0.25">
      <c r="B42" s="3">
        <v>46296</v>
      </c>
      <c r="C42" s="4" t="s">
        <v>0</v>
      </c>
      <c r="D42" s="14">
        <v>2720018809</v>
      </c>
      <c r="E42" s="4" t="s">
        <v>2</v>
      </c>
      <c r="F42" s="4" t="s">
        <v>172</v>
      </c>
      <c r="G42" s="8">
        <v>1000</v>
      </c>
      <c r="H42" s="8">
        <v>9747</v>
      </c>
      <c r="I42" s="8">
        <v>10000</v>
      </c>
      <c r="J42" s="9">
        <v>189</v>
      </c>
      <c r="K42" s="3">
        <f t="shared" si="1"/>
        <v>46303</v>
      </c>
      <c r="L42" s="3"/>
      <c r="M42" s="3"/>
      <c r="N42" s="3" t="str">
        <f t="shared" ca="1" si="2"/>
        <v>ATRASADO</v>
      </c>
      <c r="O42" s="4" t="s">
        <v>4</v>
      </c>
      <c r="P42" s="4" t="s">
        <v>2</v>
      </c>
      <c r="Q42" s="4" t="s">
        <v>177</v>
      </c>
      <c r="R42" s="4" t="s">
        <v>6</v>
      </c>
      <c r="S42" s="4" t="s">
        <v>7</v>
      </c>
      <c r="T42" s="3">
        <v>46296</v>
      </c>
      <c r="U42" s="4" t="s">
        <v>174</v>
      </c>
      <c r="V42" s="4" t="s">
        <v>175</v>
      </c>
      <c r="W42" s="4" t="s">
        <v>10</v>
      </c>
      <c r="X42" s="4" t="s">
        <v>176</v>
      </c>
      <c r="Y42" s="4" t="s">
        <v>12</v>
      </c>
      <c r="Z42" s="4" t="s">
        <v>13</v>
      </c>
      <c r="AA42" s="4" t="s">
        <v>6</v>
      </c>
    </row>
    <row r="43" spans="2:27" x14ac:dyDescent="0.25">
      <c r="B43" s="3">
        <v>46304</v>
      </c>
      <c r="C43" s="4" t="s">
        <v>0</v>
      </c>
      <c r="D43" s="14">
        <v>2720018809</v>
      </c>
      <c r="E43" s="4" t="s">
        <v>2</v>
      </c>
      <c r="F43" s="4" t="s">
        <v>172</v>
      </c>
      <c r="G43" s="8">
        <v>400</v>
      </c>
      <c r="H43" s="8">
        <v>9747</v>
      </c>
      <c r="I43" s="8">
        <v>10000</v>
      </c>
      <c r="J43" s="9">
        <v>189</v>
      </c>
      <c r="K43" s="3">
        <f t="shared" si="1"/>
        <v>46311</v>
      </c>
      <c r="L43" s="3"/>
      <c r="M43" s="3"/>
      <c r="N43" s="3" t="str">
        <f t="shared" ca="1" si="2"/>
        <v>VENCE HOJE</v>
      </c>
      <c r="O43" s="4" t="s">
        <v>4</v>
      </c>
      <c r="P43" s="4" t="s">
        <v>2</v>
      </c>
      <c r="Q43" s="4" t="s">
        <v>173</v>
      </c>
      <c r="R43" s="4" t="s">
        <v>6</v>
      </c>
      <c r="S43" s="4" t="s">
        <v>7</v>
      </c>
      <c r="T43" s="3">
        <v>46304</v>
      </c>
      <c r="U43" s="4" t="s">
        <v>174</v>
      </c>
      <c r="V43" s="4" t="s">
        <v>175</v>
      </c>
      <c r="W43" s="4" t="s">
        <v>10</v>
      </c>
      <c r="X43" s="4" t="s">
        <v>176</v>
      </c>
      <c r="Y43" s="4" t="s">
        <v>12</v>
      </c>
      <c r="Z43" s="4" t="s">
        <v>13</v>
      </c>
      <c r="AA43" s="4" t="s">
        <v>6</v>
      </c>
    </row>
    <row r="44" spans="2:27" x14ac:dyDescent="0.25">
      <c r="B44" s="3">
        <v>46300</v>
      </c>
      <c r="C44" s="4" t="s">
        <v>0</v>
      </c>
      <c r="D44" s="14">
        <v>2720019309</v>
      </c>
      <c r="E44" s="4" t="s">
        <v>2</v>
      </c>
      <c r="F44" s="4" t="s">
        <v>179</v>
      </c>
      <c r="G44" s="8">
        <v>11000</v>
      </c>
      <c r="H44" s="8">
        <v>10189</v>
      </c>
      <c r="I44" s="8">
        <v>5000</v>
      </c>
      <c r="J44" s="9">
        <v>77</v>
      </c>
      <c r="K44" s="3">
        <f t="shared" si="1"/>
        <v>46307</v>
      </c>
      <c r="L44" s="3"/>
      <c r="M44" s="3"/>
      <c r="N44" s="3" t="str">
        <f t="shared" ca="1" si="2"/>
        <v>ATRASADO</v>
      </c>
      <c r="O44" s="4" t="s">
        <v>4</v>
      </c>
      <c r="P44" s="4" t="s">
        <v>2</v>
      </c>
      <c r="Q44" s="4" t="s">
        <v>180</v>
      </c>
      <c r="R44" s="4" t="s">
        <v>6</v>
      </c>
      <c r="S44" s="4" t="s">
        <v>7</v>
      </c>
      <c r="T44" s="3">
        <v>46300</v>
      </c>
      <c r="U44" s="4" t="s">
        <v>17</v>
      </c>
      <c r="V44" s="4" t="s">
        <v>181</v>
      </c>
      <c r="W44" s="4" t="s">
        <v>10</v>
      </c>
      <c r="X44" s="4" t="s">
        <v>19</v>
      </c>
      <c r="Y44" s="4" t="s">
        <v>12</v>
      </c>
      <c r="Z44" s="4" t="s">
        <v>13</v>
      </c>
      <c r="AA44" s="4" t="s">
        <v>6</v>
      </c>
    </row>
    <row r="45" spans="2:27" x14ac:dyDescent="0.25">
      <c r="B45" s="3">
        <v>46304</v>
      </c>
      <c r="C45" s="4" t="s">
        <v>50</v>
      </c>
      <c r="D45" s="14">
        <v>9295303424</v>
      </c>
      <c r="E45" s="4" t="s">
        <v>2</v>
      </c>
      <c r="F45" s="4" t="s">
        <v>183</v>
      </c>
      <c r="G45" s="8">
        <v>1700</v>
      </c>
      <c r="H45" s="8">
        <v>10244</v>
      </c>
      <c r="I45" s="8">
        <v>10000</v>
      </c>
      <c r="J45" s="9">
        <v>91.3</v>
      </c>
      <c r="K45" s="3">
        <f t="shared" si="1"/>
        <v>46311</v>
      </c>
      <c r="L45" s="3"/>
      <c r="M45" s="3"/>
      <c r="N45" s="3" t="str">
        <f t="shared" ca="1" si="2"/>
        <v>VENCE HOJE</v>
      </c>
      <c r="O45" s="4" t="s">
        <v>4</v>
      </c>
      <c r="P45" s="4" t="s">
        <v>2</v>
      </c>
      <c r="Q45" s="4" t="s">
        <v>184</v>
      </c>
      <c r="R45" s="4" t="s">
        <v>6</v>
      </c>
      <c r="S45" s="4" t="s">
        <v>7</v>
      </c>
      <c r="T45" s="3">
        <v>46304</v>
      </c>
      <c r="U45" s="4" t="s">
        <v>81</v>
      </c>
      <c r="V45" s="4" t="s">
        <v>185</v>
      </c>
      <c r="W45" s="4" t="s">
        <v>10</v>
      </c>
      <c r="X45" s="4" t="s">
        <v>83</v>
      </c>
      <c r="Y45" s="4" t="s">
        <v>49</v>
      </c>
      <c r="Z45" s="4" t="s">
        <v>13</v>
      </c>
      <c r="AA45" s="4" t="s">
        <v>6</v>
      </c>
    </row>
    <row r="46" spans="2:27" x14ac:dyDescent="0.25">
      <c r="B46" s="3">
        <v>46304</v>
      </c>
      <c r="C46" s="4" t="s">
        <v>50</v>
      </c>
      <c r="D46" s="14">
        <v>9295303424</v>
      </c>
      <c r="E46" s="4" t="s">
        <v>2</v>
      </c>
      <c r="F46" s="4" t="s">
        <v>183</v>
      </c>
      <c r="G46" s="8">
        <v>4600</v>
      </c>
      <c r="H46" s="8">
        <v>10244</v>
      </c>
      <c r="I46" s="8">
        <v>10000</v>
      </c>
      <c r="J46" s="9">
        <v>91.3</v>
      </c>
      <c r="K46" s="3">
        <f t="shared" si="1"/>
        <v>46311</v>
      </c>
      <c r="L46" s="3"/>
      <c r="M46" s="3"/>
      <c r="N46" s="3" t="str">
        <f t="shared" ca="1" si="2"/>
        <v>VENCE HOJE</v>
      </c>
      <c r="O46" s="4" t="s">
        <v>4</v>
      </c>
      <c r="P46" s="4" t="s">
        <v>2</v>
      </c>
      <c r="Q46" s="4" t="s">
        <v>186</v>
      </c>
      <c r="R46" s="4" t="s">
        <v>6</v>
      </c>
      <c r="S46" s="4" t="s">
        <v>7</v>
      </c>
      <c r="T46" s="3">
        <v>46304</v>
      </c>
      <c r="U46" s="4" t="s">
        <v>81</v>
      </c>
      <c r="V46" s="4" t="s">
        <v>187</v>
      </c>
      <c r="W46" s="4" t="s">
        <v>10</v>
      </c>
      <c r="X46" s="4" t="s">
        <v>83</v>
      </c>
      <c r="Y46" s="4" t="s">
        <v>49</v>
      </c>
      <c r="Z46" s="4" t="s">
        <v>13</v>
      </c>
      <c r="AA46" s="4" t="s">
        <v>6</v>
      </c>
    </row>
    <row r="47" spans="2:27" x14ac:dyDescent="0.25">
      <c r="B47" s="3">
        <v>46303</v>
      </c>
      <c r="C47" s="4" t="s">
        <v>0</v>
      </c>
      <c r="D47" s="14">
        <v>2720019691</v>
      </c>
      <c r="E47" s="4" t="s">
        <v>2</v>
      </c>
      <c r="F47" s="4" t="s">
        <v>189</v>
      </c>
      <c r="G47" s="8">
        <v>16190</v>
      </c>
      <c r="H47" s="8">
        <v>10941</v>
      </c>
      <c r="I47" s="8">
        <v>16000</v>
      </c>
      <c r="J47" s="9">
        <v>11.7</v>
      </c>
      <c r="K47" s="3">
        <f t="shared" si="1"/>
        <v>46310</v>
      </c>
      <c r="L47" s="3"/>
      <c r="M47" s="3"/>
      <c r="N47" s="3" t="str">
        <f t="shared" ca="1" si="2"/>
        <v>ATRASADO</v>
      </c>
      <c r="O47" s="4" t="s">
        <v>4</v>
      </c>
      <c r="P47" s="4" t="s">
        <v>2</v>
      </c>
      <c r="Q47" s="4" t="s">
        <v>190</v>
      </c>
      <c r="R47" s="4" t="s">
        <v>6</v>
      </c>
      <c r="S47" s="4" t="s">
        <v>7</v>
      </c>
      <c r="T47" s="3">
        <v>46303</v>
      </c>
      <c r="U47" s="4" t="s">
        <v>27</v>
      </c>
      <c r="V47" s="4" t="s">
        <v>191</v>
      </c>
      <c r="W47" s="4" t="s">
        <v>10</v>
      </c>
      <c r="X47" s="4" t="s">
        <v>11</v>
      </c>
      <c r="Y47" s="4" t="s">
        <v>12</v>
      </c>
      <c r="Z47" s="4" t="s">
        <v>13</v>
      </c>
      <c r="AA47" s="4" t="s">
        <v>6</v>
      </c>
    </row>
    <row r="48" spans="2:27" x14ac:dyDescent="0.25">
      <c r="B48" s="3">
        <v>46301</v>
      </c>
      <c r="C48" s="4" t="s">
        <v>0</v>
      </c>
      <c r="D48" s="14">
        <v>2720018446</v>
      </c>
      <c r="E48" s="4" t="s">
        <v>2</v>
      </c>
      <c r="F48" s="4" t="s">
        <v>193</v>
      </c>
      <c r="G48" s="8">
        <v>21600</v>
      </c>
      <c r="H48" s="8">
        <v>11880</v>
      </c>
      <c r="I48" s="8">
        <v>0</v>
      </c>
      <c r="J48" s="9">
        <v>999.9</v>
      </c>
      <c r="K48" s="3">
        <f t="shared" si="1"/>
        <v>46308</v>
      </c>
      <c r="L48" s="3"/>
      <c r="M48" s="3"/>
      <c r="N48" s="3" t="str">
        <f t="shared" ca="1" si="2"/>
        <v>ATRASADO</v>
      </c>
      <c r="O48" s="4" t="s">
        <v>4</v>
      </c>
      <c r="P48" s="4" t="s">
        <v>2</v>
      </c>
      <c r="Q48" s="4" t="s">
        <v>194</v>
      </c>
      <c r="R48" s="4" t="s">
        <v>6</v>
      </c>
      <c r="S48" s="4" t="s">
        <v>7</v>
      </c>
      <c r="T48" s="3">
        <v>46301</v>
      </c>
      <c r="U48" s="4" t="s">
        <v>195</v>
      </c>
      <c r="V48" s="4" t="s">
        <v>196</v>
      </c>
      <c r="W48" s="4" t="s">
        <v>10</v>
      </c>
      <c r="X48" s="4" t="s">
        <v>197</v>
      </c>
      <c r="Y48" s="4" t="s">
        <v>12</v>
      </c>
      <c r="Z48" s="4" t="s">
        <v>13</v>
      </c>
      <c r="AA48" s="4" t="s">
        <v>6</v>
      </c>
    </row>
    <row r="49" spans="2:27" x14ac:dyDescent="0.25">
      <c r="B49" s="3">
        <v>46300</v>
      </c>
      <c r="C49" s="4" t="s">
        <v>95</v>
      </c>
      <c r="D49" s="14">
        <v>9295306921</v>
      </c>
      <c r="E49" s="4" t="s">
        <v>2</v>
      </c>
      <c r="F49" s="4" t="s">
        <v>199</v>
      </c>
      <c r="G49" s="8">
        <v>20000</v>
      </c>
      <c r="H49" s="8">
        <v>12678</v>
      </c>
      <c r="I49" s="8">
        <v>5000</v>
      </c>
      <c r="J49" s="9">
        <v>999.9</v>
      </c>
      <c r="K49" s="3">
        <f t="shared" si="1"/>
        <v>46307</v>
      </c>
      <c r="L49" s="3"/>
      <c r="M49" s="3"/>
      <c r="N49" s="3" t="str">
        <f t="shared" ca="1" si="2"/>
        <v>ATRASADO</v>
      </c>
      <c r="O49" s="4" t="s">
        <v>4</v>
      </c>
      <c r="P49" s="4" t="s">
        <v>2</v>
      </c>
      <c r="Q49" s="4" t="s">
        <v>200</v>
      </c>
      <c r="R49" s="4" t="s">
        <v>6</v>
      </c>
      <c r="S49" s="4" t="s">
        <v>7</v>
      </c>
      <c r="T49" s="3">
        <v>46300</v>
      </c>
      <c r="U49" s="4" t="s">
        <v>201</v>
      </c>
      <c r="V49" s="4" t="s">
        <v>202</v>
      </c>
      <c r="W49" s="4" t="s">
        <v>10</v>
      </c>
      <c r="X49" s="4" t="s">
        <v>83</v>
      </c>
      <c r="Y49" s="4" t="s">
        <v>49</v>
      </c>
      <c r="Z49" s="4" t="s">
        <v>13</v>
      </c>
      <c r="AA49" s="4" t="s">
        <v>6</v>
      </c>
    </row>
    <row r="50" spans="2:27" x14ac:dyDescent="0.25">
      <c r="B50" s="3">
        <v>46308</v>
      </c>
      <c r="C50" s="4" t="s">
        <v>95</v>
      </c>
      <c r="D50" s="14">
        <v>9201512661</v>
      </c>
      <c r="E50" s="4" t="s">
        <v>2</v>
      </c>
      <c r="F50" s="4" t="s">
        <v>204</v>
      </c>
      <c r="G50" s="8">
        <v>400</v>
      </c>
      <c r="H50" s="8">
        <v>13655</v>
      </c>
      <c r="I50" s="8">
        <v>10000</v>
      </c>
      <c r="J50" s="9">
        <v>999.9</v>
      </c>
      <c r="K50" s="3">
        <f t="shared" si="1"/>
        <v>46315</v>
      </c>
      <c r="L50" s="3"/>
      <c r="M50" s="3"/>
      <c r="N50" s="3" t="str">
        <f t="shared" ca="1" si="2"/>
        <v>NO PRAZO</v>
      </c>
      <c r="O50" s="4" t="s">
        <v>4</v>
      </c>
      <c r="P50" s="4" t="s">
        <v>2</v>
      </c>
      <c r="Q50" s="4" t="s">
        <v>205</v>
      </c>
      <c r="R50" s="4" t="s">
        <v>6</v>
      </c>
      <c r="S50" s="4" t="s">
        <v>7</v>
      </c>
      <c r="T50" s="3">
        <v>46308</v>
      </c>
      <c r="U50" s="4" t="s">
        <v>81</v>
      </c>
      <c r="V50" s="4" t="s">
        <v>206</v>
      </c>
      <c r="W50" s="4" t="s">
        <v>10</v>
      </c>
      <c r="X50" s="4" t="s">
        <v>83</v>
      </c>
      <c r="Y50" s="4" t="s">
        <v>49</v>
      </c>
      <c r="Z50" s="4" t="s">
        <v>13</v>
      </c>
      <c r="AA50" s="4" t="s">
        <v>6</v>
      </c>
    </row>
    <row r="51" spans="2:27" x14ac:dyDescent="0.25">
      <c r="B51" s="3">
        <v>46308</v>
      </c>
      <c r="C51" s="4" t="s">
        <v>95</v>
      </c>
      <c r="D51" s="14">
        <v>9201512661</v>
      </c>
      <c r="E51" s="4" t="s">
        <v>2</v>
      </c>
      <c r="F51" s="4" t="s">
        <v>204</v>
      </c>
      <c r="G51" s="8">
        <v>3800</v>
      </c>
      <c r="H51" s="8">
        <v>13655</v>
      </c>
      <c r="I51" s="8">
        <v>10000</v>
      </c>
      <c r="J51" s="9">
        <v>999.9</v>
      </c>
      <c r="K51" s="3">
        <f t="shared" si="1"/>
        <v>46315</v>
      </c>
      <c r="L51" s="3"/>
      <c r="M51" s="3"/>
      <c r="N51" s="3" t="str">
        <f t="shared" ca="1" si="2"/>
        <v>NO PRAZO</v>
      </c>
      <c r="O51" s="4" t="s">
        <v>4</v>
      </c>
      <c r="P51" s="4" t="s">
        <v>2</v>
      </c>
      <c r="Q51" s="4" t="s">
        <v>207</v>
      </c>
      <c r="R51" s="4" t="s">
        <v>6</v>
      </c>
      <c r="S51" s="4" t="s">
        <v>7</v>
      </c>
      <c r="T51" s="3">
        <v>46308</v>
      </c>
      <c r="U51" s="4" t="s">
        <v>81</v>
      </c>
      <c r="V51" s="4" t="s">
        <v>206</v>
      </c>
      <c r="W51" s="4" t="s">
        <v>10</v>
      </c>
      <c r="X51" s="4" t="s">
        <v>83</v>
      </c>
      <c r="Y51" s="4" t="s">
        <v>49</v>
      </c>
      <c r="Z51" s="4" t="s">
        <v>13</v>
      </c>
      <c r="AA51" s="4" t="s">
        <v>6</v>
      </c>
    </row>
    <row r="52" spans="2:27" x14ac:dyDescent="0.25">
      <c r="B52" s="3">
        <v>46304</v>
      </c>
      <c r="C52" s="4" t="s">
        <v>0</v>
      </c>
      <c r="D52" s="14">
        <v>2720017474</v>
      </c>
      <c r="E52" s="4" t="s">
        <v>2</v>
      </c>
      <c r="F52" s="4" t="s">
        <v>209</v>
      </c>
      <c r="G52" s="8">
        <v>3060</v>
      </c>
      <c r="H52" s="8">
        <v>14294</v>
      </c>
      <c r="I52" s="8">
        <v>30000</v>
      </c>
      <c r="J52" s="9">
        <v>15</v>
      </c>
      <c r="K52" s="3">
        <f t="shared" si="1"/>
        <v>46311</v>
      </c>
      <c r="L52" s="3"/>
      <c r="M52" s="3"/>
      <c r="N52" s="3" t="str">
        <f t="shared" ca="1" si="2"/>
        <v>VENCE HOJE</v>
      </c>
      <c r="O52" s="4" t="s">
        <v>4</v>
      </c>
      <c r="P52" s="4" t="s">
        <v>2</v>
      </c>
      <c r="Q52" s="4" t="s">
        <v>213</v>
      </c>
      <c r="R52" s="4" t="s">
        <v>6</v>
      </c>
      <c r="S52" s="4" t="s">
        <v>7</v>
      </c>
      <c r="T52" s="3">
        <v>46304</v>
      </c>
      <c r="U52" s="4" t="s">
        <v>174</v>
      </c>
      <c r="V52" s="4" t="s">
        <v>214</v>
      </c>
      <c r="W52" s="4" t="s">
        <v>10</v>
      </c>
      <c r="X52" s="4" t="s">
        <v>176</v>
      </c>
      <c r="Y52" s="4" t="s">
        <v>12</v>
      </c>
      <c r="Z52" s="4" t="s">
        <v>13</v>
      </c>
      <c r="AA52" s="4" t="s">
        <v>6</v>
      </c>
    </row>
    <row r="53" spans="2:27" x14ac:dyDescent="0.25">
      <c r="B53" s="3">
        <v>46309</v>
      </c>
      <c r="C53" s="4" t="s">
        <v>0</v>
      </c>
      <c r="D53" s="14">
        <v>2720017474</v>
      </c>
      <c r="E53" s="4" t="s">
        <v>2</v>
      </c>
      <c r="F53" s="4" t="s">
        <v>209</v>
      </c>
      <c r="G53" s="8">
        <v>5760</v>
      </c>
      <c r="H53" s="8">
        <v>14294</v>
      </c>
      <c r="I53" s="8">
        <v>30000</v>
      </c>
      <c r="J53" s="9">
        <v>15</v>
      </c>
      <c r="K53" s="3">
        <f t="shared" si="1"/>
        <v>46316</v>
      </c>
      <c r="L53" s="3"/>
      <c r="M53" s="3"/>
      <c r="N53" s="3" t="str">
        <f t="shared" ca="1" si="2"/>
        <v>NO PRAZO</v>
      </c>
      <c r="O53" s="4" t="s">
        <v>4</v>
      </c>
      <c r="P53" s="4" t="s">
        <v>2</v>
      </c>
      <c r="Q53" s="4" t="s">
        <v>210</v>
      </c>
      <c r="R53" s="4" t="s">
        <v>6</v>
      </c>
      <c r="S53" s="4" t="s">
        <v>7</v>
      </c>
      <c r="T53" s="3">
        <v>46309</v>
      </c>
      <c r="U53" s="4" t="s">
        <v>174</v>
      </c>
      <c r="V53" s="4" t="s">
        <v>211</v>
      </c>
      <c r="W53" s="4" t="s">
        <v>10</v>
      </c>
      <c r="X53" s="4" t="s">
        <v>176</v>
      </c>
      <c r="Y53" s="4" t="s">
        <v>12</v>
      </c>
      <c r="Z53" s="4" t="s">
        <v>13</v>
      </c>
      <c r="AA53" s="4" t="s">
        <v>6</v>
      </c>
    </row>
    <row r="54" spans="2:27" x14ac:dyDescent="0.25">
      <c r="B54" s="3">
        <v>46309</v>
      </c>
      <c r="C54" s="4" t="s">
        <v>0</v>
      </c>
      <c r="D54" s="14">
        <v>2720017474</v>
      </c>
      <c r="E54" s="4" t="s">
        <v>2</v>
      </c>
      <c r="F54" s="4" t="s">
        <v>209</v>
      </c>
      <c r="G54" s="8">
        <v>2160</v>
      </c>
      <c r="H54" s="8">
        <v>14294</v>
      </c>
      <c r="I54" s="8">
        <v>30000</v>
      </c>
      <c r="J54" s="9">
        <v>15</v>
      </c>
      <c r="K54" s="3">
        <f t="shared" si="1"/>
        <v>46316</v>
      </c>
      <c r="L54" s="3"/>
      <c r="M54" s="3"/>
      <c r="N54" s="3" t="str">
        <f t="shared" ca="1" si="2"/>
        <v>NO PRAZO</v>
      </c>
      <c r="O54" s="4" t="s">
        <v>4</v>
      </c>
      <c r="P54" s="4" t="s">
        <v>2</v>
      </c>
      <c r="Q54" s="4" t="s">
        <v>212</v>
      </c>
      <c r="R54" s="4" t="s">
        <v>6</v>
      </c>
      <c r="S54" s="4" t="s">
        <v>7</v>
      </c>
      <c r="T54" s="3">
        <v>46309</v>
      </c>
      <c r="U54" s="4" t="s">
        <v>174</v>
      </c>
      <c r="V54" s="4" t="s">
        <v>211</v>
      </c>
      <c r="W54" s="4" t="s">
        <v>10</v>
      </c>
      <c r="X54" s="4" t="s">
        <v>176</v>
      </c>
      <c r="Y54" s="4" t="s">
        <v>12</v>
      </c>
      <c r="Z54" s="4" t="s">
        <v>13</v>
      </c>
      <c r="AA54" s="4" t="s">
        <v>6</v>
      </c>
    </row>
    <row r="55" spans="2:27" x14ac:dyDescent="0.25">
      <c r="B55" s="3">
        <v>46300</v>
      </c>
      <c r="C55" s="4" t="s">
        <v>0</v>
      </c>
      <c r="D55" s="14">
        <v>2720019631</v>
      </c>
      <c r="E55" s="4" t="s">
        <v>2</v>
      </c>
      <c r="F55" s="4" t="s">
        <v>216</v>
      </c>
      <c r="G55" s="8">
        <v>15400</v>
      </c>
      <c r="H55" s="8">
        <v>14400</v>
      </c>
      <c r="I55" s="8">
        <v>30000</v>
      </c>
      <c r="J55" s="9">
        <v>11.9</v>
      </c>
      <c r="K55" s="3">
        <f t="shared" si="1"/>
        <v>46307</v>
      </c>
      <c r="L55" s="3"/>
      <c r="M55" s="3"/>
      <c r="N55" s="3" t="str">
        <f t="shared" ca="1" si="2"/>
        <v>ATRASADO</v>
      </c>
      <c r="O55" s="4" t="s">
        <v>4</v>
      </c>
      <c r="P55" s="4" t="s">
        <v>2</v>
      </c>
      <c r="Q55" s="4" t="s">
        <v>217</v>
      </c>
      <c r="R55" s="4" t="s">
        <v>6</v>
      </c>
      <c r="S55" s="4" t="s">
        <v>7</v>
      </c>
      <c r="T55" s="3">
        <v>46300</v>
      </c>
      <c r="U55" s="4" t="s">
        <v>17</v>
      </c>
      <c r="V55" s="4" t="s">
        <v>218</v>
      </c>
      <c r="W55" s="4" t="s">
        <v>10</v>
      </c>
      <c r="X55" s="4" t="s">
        <v>19</v>
      </c>
      <c r="Y55" s="4" t="s">
        <v>12</v>
      </c>
      <c r="Z55" s="4" t="s">
        <v>13</v>
      </c>
      <c r="AA55" s="4" t="s">
        <v>6</v>
      </c>
    </row>
    <row r="56" spans="2:27" x14ac:dyDescent="0.25">
      <c r="B56" s="3">
        <v>46308</v>
      </c>
      <c r="C56" s="4" t="s">
        <v>0</v>
      </c>
      <c r="D56" s="14">
        <v>2720019631</v>
      </c>
      <c r="E56" s="4" t="s">
        <v>2</v>
      </c>
      <c r="F56" s="4" t="s">
        <v>216</v>
      </c>
      <c r="G56" s="8">
        <v>37000</v>
      </c>
      <c r="H56" s="8">
        <v>14400</v>
      </c>
      <c r="I56" s="8">
        <v>30000</v>
      </c>
      <c r="J56" s="9">
        <v>11.9</v>
      </c>
      <c r="K56" s="3">
        <f t="shared" si="1"/>
        <v>46315</v>
      </c>
      <c r="L56" s="3"/>
      <c r="M56" s="3"/>
      <c r="N56" s="3" t="str">
        <f t="shared" ca="1" si="2"/>
        <v>NO PRAZO</v>
      </c>
      <c r="O56" s="4" t="s">
        <v>4</v>
      </c>
      <c r="P56" s="4" t="s">
        <v>2</v>
      </c>
      <c r="Q56" s="4" t="s">
        <v>219</v>
      </c>
      <c r="R56" s="4" t="s">
        <v>6</v>
      </c>
      <c r="S56" s="4" t="s">
        <v>7</v>
      </c>
      <c r="T56" s="3">
        <v>46308</v>
      </c>
      <c r="U56" s="4" t="s">
        <v>17</v>
      </c>
      <c r="V56" s="4" t="s">
        <v>220</v>
      </c>
      <c r="W56" s="4" t="s">
        <v>10</v>
      </c>
      <c r="X56" s="4" t="s">
        <v>19</v>
      </c>
      <c r="Y56" s="4" t="s">
        <v>12</v>
      </c>
      <c r="Z56" s="4" t="s">
        <v>13</v>
      </c>
      <c r="AA56" s="4" t="s">
        <v>6</v>
      </c>
    </row>
    <row r="57" spans="2:27" x14ac:dyDescent="0.25">
      <c r="B57" s="3">
        <v>46308</v>
      </c>
      <c r="C57" s="4" t="s">
        <v>0</v>
      </c>
      <c r="D57" s="14">
        <v>2720019267</v>
      </c>
      <c r="E57" s="4" t="s">
        <v>2</v>
      </c>
      <c r="F57" s="4" t="s">
        <v>222</v>
      </c>
      <c r="G57" s="8">
        <v>3750</v>
      </c>
      <c r="H57" s="8">
        <v>16022</v>
      </c>
      <c r="I57" s="8">
        <v>20000</v>
      </c>
      <c r="J57" s="9">
        <v>5.2</v>
      </c>
      <c r="K57" s="3">
        <f t="shared" si="1"/>
        <v>46315</v>
      </c>
      <c r="L57" s="3"/>
      <c r="M57" s="3"/>
      <c r="N57" s="3" t="str">
        <f t="shared" ca="1" si="2"/>
        <v>NO PRAZO</v>
      </c>
      <c r="O57" s="4" t="s">
        <v>4</v>
      </c>
      <c r="P57" s="4" t="s">
        <v>2</v>
      </c>
      <c r="Q57" s="4" t="s">
        <v>226</v>
      </c>
      <c r="R57" s="4" t="s">
        <v>6</v>
      </c>
      <c r="S57" s="4" t="s">
        <v>7</v>
      </c>
      <c r="T57" s="3">
        <v>46308</v>
      </c>
      <c r="U57" s="4" t="s">
        <v>8</v>
      </c>
      <c r="V57" s="4" t="s">
        <v>227</v>
      </c>
      <c r="W57" s="4" t="s">
        <v>10</v>
      </c>
      <c r="X57" s="4" t="s">
        <v>11</v>
      </c>
      <c r="Y57" s="4" t="s">
        <v>12</v>
      </c>
      <c r="Z57" s="4" t="s">
        <v>13</v>
      </c>
      <c r="AA57" s="4" t="s">
        <v>6</v>
      </c>
    </row>
    <row r="58" spans="2:27" x14ac:dyDescent="0.25">
      <c r="B58" s="3">
        <v>46309</v>
      </c>
      <c r="C58" s="4" t="s">
        <v>0</v>
      </c>
      <c r="D58" s="14">
        <v>2720019267</v>
      </c>
      <c r="E58" s="4" t="s">
        <v>2</v>
      </c>
      <c r="F58" s="4" t="s">
        <v>222</v>
      </c>
      <c r="G58" s="8">
        <v>3780</v>
      </c>
      <c r="H58" s="8">
        <v>16022</v>
      </c>
      <c r="I58" s="8">
        <v>20000</v>
      </c>
      <c r="J58" s="9">
        <v>5.2</v>
      </c>
      <c r="K58" s="3">
        <f t="shared" si="1"/>
        <v>46316</v>
      </c>
      <c r="L58" s="3"/>
      <c r="M58" s="3"/>
      <c r="N58" s="3" t="str">
        <f t="shared" ca="1" si="2"/>
        <v>NO PRAZO</v>
      </c>
      <c r="O58" s="4" t="s">
        <v>4</v>
      </c>
      <c r="P58" s="4" t="s">
        <v>2</v>
      </c>
      <c r="Q58" s="4" t="s">
        <v>223</v>
      </c>
      <c r="R58" s="4" t="s">
        <v>6</v>
      </c>
      <c r="S58" s="4" t="s">
        <v>7</v>
      </c>
      <c r="T58" s="3">
        <v>46309</v>
      </c>
      <c r="U58" s="4" t="s">
        <v>8</v>
      </c>
      <c r="V58" s="4" t="s">
        <v>224</v>
      </c>
      <c r="W58" s="4" t="s">
        <v>10</v>
      </c>
      <c r="X58" s="4" t="s">
        <v>11</v>
      </c>
      <c r="Y58" s="4" t="s">
        <v>12</v>
      </c>
      <c r="Z58" s="4" t="s">
        <v>13</v>
      </c>
      <c r="AA58" s="4" t="s">
        <v>6</v>
      </c>
    </row>
    <row r="59" spans="2:27" x14ac:dyDescent="0.25">
      <c r="B59" s="3">
        <v>46309</v>
      </c>
      <c r="C59" s="4" t="s">
        <v>0</v>
      </c>
      <c r="D59" s="14">
        <v>2720019267</v>
      </c>
      <c r="E59" s="4" t="s">
        <v>2</v>
      </c>
      <c r="F59" s="4" t="s">
        <v>222</v>
      </c>
      <c r="G59" s="8">
        <v>3780</v>
      </c>
      <c r="H59" s="8">
        <v>16022</v>
      </c>
      <c r="I59" s="8">
        <v>20000</v>
      </c>
      <c r="J59" s="9">
        <v>5.2</v>
      </c>
      <c r="K59" s="3">
        <f t="shared" si="1"/>
        <v>46316</v>
      </c>
      <c r="L59" s="3"/>
      <c r="M59" s="3"/>
      <c r="N59" s="3" t="str">
        <f t="shared" ca="1" si="2"/>
        <v>NO PRAZO</v>
      </c>
      <c r="O59" s="4" t="s">
        <v>4</v>
      </c>
      <c r="P59" s="4" t="s">
        <v>2</v>
      </c>
      <c r="Q59" s="4" t="s">
        <v>225</v>
      </c>
      <c r="R59" s="4" t="s">
        <v>6</v>
      </c>
      <c r="S59" s="4" t="s">
        <v>7</v>
      </c>
      <c r="T59" s="3">
        <v>46309</v>
      </c>
      <c r="U59" s="4" t="s">
        <v>8</v>
      </c>
      <c r="V59" s="4" t="s">
        <v>224</v>
      </c>
      <c r="W59" s="4" t="s">
        <v>10</v>
      </c>
      <c r="X59" s="4" t="s">
        <v>11</v>
      </c>
      <c r="Y59" s="4" t="s">
        <v>12</v>
      </c>
      <c r="Z59" s="4" t="s">
        <v>13</v>
      </c>
      <c r="AA59" s="4" t="s">
        <v>6</v>
      </c>
    </row>
    <row r="60" spans="2:27" x14ac:dyDescent="0.25">
      <c r="B60" s="3">
        <v>46308</v>
      </c>
      <c r="C60" s="4" t="s">
        <v>0</v>
      </c>
      <c r="D60" s="14">
        <v>2720019630</v>
      </c>
      <c r="E60" s="4" t="s">
        <v>2</v>
      </c>
      <c r="F60" s="4" t="s">
        <v>229</v>
      </c>
      <c r="G60" s="8">
        <v>15000</v>
      </c>
      <c r="H60" s="8">
        <v>16270</v>
      </c>
      <c r="I60" s="8">
        <v>40000</v>
      </c>
      <c r="J60" s="9">
        <v>5.4</v>
      </c>
      <c r="K60" s="3">
        <f t="shared" si="1"/>
        <v>46315</v>
      </c>
      <c r="L60" s="3"/>
      <c r="M60" s="3"/>
      <c r="N60" s="3" t="str">
        <f t="shared" ca="1" si="2"/>
        <v>NO PRAZO</v>
      </c>
      <c r="O60" s="4" t="s">
        <v>4</v>
      </c>
      <c r="P60" s="4" t="s">
        <v>2</v>
      </c>
      <c r="Q60" s="4" t="s">
        <v>230</v>
      </c>
      <c r="R60" s="4" t="s">
        <v>6</v>
      </c>
      <c r="S60" s="4" t="s">
        <v>7</v>
      </c>
      <c r="T60" s="3">
        <v>46308</v>
      </c>
      <c r="U60" s="4" t="s">
        <v>17</v>
      </c>
      <c r="V60" s="4" t="s">
        <v>231</v>
      </c>
      <c r="W60" s="4" t="s">
        <v>10</v>
      </c>
      <c r="X60" s="4" t="s">
        <v>19</v>
      </c>
      <c r="Y60" s="4" t="s">
        <v>12</v>
      </c>
      <c r="Z60" s="4" t="s">
        <v>13</v>
      </c>
      <c r="AA60" s="4" t="s">
        <v>6</v>
      </c>
    </row>
    <row r="61" spans="2:27" x14ac:dyDescent="0.25">
      <c r="B61" s="3">
        <v>46308</v>
      </c>
      <c r="C61" s="4" t="s">
        <v>0</v>
      </c>
      <c r="D61" s="14">
        <v>2720019630</v>
      </c>
      <c r="E61" s="4" t="s">
        <v>2</v>
      </c>
      <c r="F61" s="4" t="s">
        <v>229</v>
      </c>
      <c r="G61" s="8">
        <v>47000</v>
      </c>
      <c r="H61" s="8">
        <v>16270</v>
      </c>
      <c r="I61" s="8">
        <v>40000</v>
      </c>
      <c r="J61" s="9">
        <v>5.4</v>
      </c>
      <c r="K61" s="3">
        <f t="shared" si="1"/>
        <v>46315</v>
      </c>
      <c r="L61" s="3"/>
      <c r="M61" s="3"/>
      <c r="N61" s="3" t="str">
        <f t="shared" ca="1" si="2"/>
        <v>NO PRAZO</v>
      </c>
      <c r="O61" s="4" t="s">
        <v>4</v>
      </c>
      <c r="P61" s="4" t="s">
        <v>2</v>
      </c>
      <c r="Q61" s="4" t="s">
        <v>232</v>
      </c>
      <c r="R61" s="4" t="s">
        <v>6</v>
      </c>
      <c r="S61" s="4" t="s">
        <v>7</v>
      </c>
      <c r="T61" s="3">
        <v>46308</v>
      </c>
      <c r="U61" s="4" t="s">
        <v>17</v>
      </c>
      <c r="V61" s="4" t="s">
        <v>233</v>
      </c>
      <c r="W61" s="4" t="s">
        <v>10</v>
      </c>
      <c r="X61" s="4" t="s">
        <v>19</v>
      </c>
      <c r="Y61" s="4" t="s">
        <v>12</v>
      </c>
      <c r="Z61" s="4" t="s">
        <v>13</v>
      </c>
      <c r="AA61" s="4" t="s">
        <v>6</v>
      </c>
    </row>
    <row r="62" spans="2:27" x14ac:dyDescent="0.25">
      <c r="B62" s="3">
        <v>46309</v>
      </c>
      <c r="C62" s="4" t="s">
        <v>42</v>
      </c>
      <c r="D62" s="14">
        <v>2730018508</v>
      </c>
      <c r="E62" s="4" t="s">
        <v>2</v>
      </c>
      <c r="F62" s="4" t="s">
        <v>235</v>
      </c>
      <c r="G62" s="8">
        <v>8000</v>
      </c>
      <c r="H62" s="8">
        <v>17425</v>
      </c>
      <c r="I62" s="8">
        <v>40000</v>
      </c>
      <c r="J62" s="9">
        <v>2.6</v>
      </c>
      <c r="K62" s="3">
        <f t="shared" si="1"/>
        <v>46316</v>
      </c>
      <c r="L62" s="3"/>
      <c r="M62" s="3"/>
      <c r="N62" s="3" t="str">
        <f t="shared" ca="1" si="2"/>
        <v>NO PRAZO</v>
      </c>
      <c r="O62" s="4" t="s">
        <v>4</v>
      </c>
      <c r="P62" s="4" t="s">
        <v>2</v>
      </c>
      <c r="Q62" s="4" t="s">
        <v>236</v>
      </c>
      <c r="R62" s="4" t="s">
        <v>6</v>
      </c>
      <c r="S62" s="4" t="s">
        <v>7</v>
      </c>
      <c r="T62" s="3">
        <v>46309</v>
      </c>
      <c r="U62" s="4" t="s">
        <v>81</v>
      </c>
      <c r="V62" s="4" t="s">
        <v>237</v>
      </c>
      <c r="W62" s="4" t="s">
        <v>10</v>
      </c>
      <c r="X62" s="4" t="s">
        <v>83</v>
      </c>
      <c r="Y62" s="4" t="s">
        <v>12</v>
      </c>
      <c r="Z62" s="4" t="s">
        <v>13</v>
      </c>
      <c r="AA62" s="4" t="s">
        <v>6</v>
      </c>
    </row>
    <row r="63" spans="2:27" x14ac:dyDescent="0.25">
      <c r="B63" s="3">
        <v>46308</v>
      </c>
      <c r="C63" s="4" t="s">
        <v>238</v>
      </c>
      <c r="D63" s="14">
        <v>2720019638</v>
      </c>
      <c r="E63" s="4" t="s">
        <v>2</v>
      </c>
      <c r="F63" s="4" t="s">
        <v>240</v>
      </c>
      <c r="G63" s="8">
        <v>880</v>
      </c>
      <c r="H63" s="8">
        <v>17767</v>
      </c>
      <c r="I63" s="8">
        <v>100</v>
      </c>
      <c r="J63" s="9">
        <v>999.9</v>
      </c>
      <c r="K63" s="3">
        <f t="shared" si="1"/>
        <v>46315</v>
      </c>
      <c r="L63" s="3"/>
      <c r="M63" s="3"/>
      <c r="N63" s="3" t="str">
        <f t="shared" ca="1" si="2"/>
        <v>NO PRAZO</v>
      </c>
      <c r="O63" s="4" t="s">
        <v>4</v>
      </c>
      <c r="P63" s="4" t="s">
        <v>2</v>
      </c>
      <c r="Q63" s="4" t="s">
        <v>241</v>
      </c>
      <c r="R63" s="4" t="s">
        <v>6</v>
      </c>
      <c r="S63" s="4" t="s">
        <v>7</v>
      </c>
      <c r="T63" s="3">
        <v>46308</v>
      </c>
      <c r="U63" s="4" t="s">
        <v>242</v>
      </c>
      <c r="V63" s="4" t="s">
        <v>243</v>
      </c>
      <c r="W63" s="4" t="s">
        <v>10</v>
      </c>
      <c r="X63" s="4" t="s">
        <v>11</v>
      </c>
      <c r="Y63" s="4" t="s">
        <v>12</v>
      </c>
      <c r="Z63" s="4" t="s">
        <v>13</v>
      </c>
      <c r="AA63" s="4" t="s">
        <v>6</v>
      </c>
    </row>
    <row r="64" spans="2:27" x14ac:dyDescent="0.25">
      <c r="B64" s="3">
        <v>46309</v>
      </c>
      <c r="C64" s="4" t="s">
        <v>0</v>
      </c>
      <c r="D64" s="14">
        <v>2730022248</v>
      </c>
      <c r="E64" s="4" t="s">
        <v>2</v>
      </c>
      <c r="F64" s="4" t="s">
        <v>245</v>
      </c>
      <c r="G64" s="8">
        <v>5760</v>
      </c>
      <c r="H64" s="8">
        <v>21321</v>
      </c>
      <c r="I64" s="8">
        <v>80000</v>
      </c>
      <c r="J64" s="9">
        <v>10.9</v>
      </c>
      <c r="K64" s="3">
        <f t="shared" ref="K64:K93" si="3">B64+7</f>
        <v>46316</v>
      </c>
      <c r="L64" s="3"/>
      <c r="M64" s="3"/>
      <c r="N64" s="3" t="str">
        <f ca="1">IF(K64="","",IF(TODAY()&gt;K64,"ATRASADO",IF(TODAY()=K64,"VENCE HOJE",IF(K64-TODAY()&lt;=2,"ATENÇÃO","NO PRAZO"))))</f>
        <v>NO PRAZO</v>
      </c>
      <c r="O64" s="4" t="s">
        <v>4</v>
      </c>
      <c r="P64" s="4" t="s">
        <v>2</v>
      </c>
      <c r="Q64" s="4" t="s">
        <v>246</v>
      </c>
      <c r="R64" s="4" t="s">
        <v>6</v>
      </c>
      <c r="S64" s="4" t="s">
        <v>7</v>
      </c>
      <c r="T64" s="3">
        <v>46309</v>
      </c>
      <c r="U64" s="4" t="s">
        <v>174</v>
      </c>
      <c r="V64" s="4" t="s">
        <v>247</v>
      </c>
      <c r="W64" s="4" t="s">
        <v>10</v>
      </c>
      <c r="X64" s="4" t="s">
        <v>176</v>
      </c>
      <c r="Y64" s="4" t="s">
        <v>12</v>
      </c>
      <c r="Z64" s="4" t="s">
        <v>13</v>
      </c>
      <c r="AA64" s="4" t="s">
        <v>6</v>
      </c>
    </row>
    <row r="65" spans="2:27" x14ac:dyDescent="0.25">
      <c r="B65" s="3">
        <v>46309</v>
      </c>
      <c r="C65" s="4" t="s">
        <v>0</v>
      </c>
      <c r="D65" s="14">
        <v>2730022248</v>
      </c>
      <c r="E65" s="4" t="s">
        <v>2</v>
      </c>
      <c r="F65" s="4" t="s">
        <v>245</v>
      </c>
      <c r="G65" s="8">
        <v>7380</v>
      </c>
      <c r="H65" s="8">
        <v>21321</v>
      </c>
      <c r="I65" s="8">
        <v>80000</v>
      </c>
      <c r="J65" s="9">
        <v>10.9</v>
      </c>
      <c r="K65" s="3">
        <f t="shared" si="3"/>
        <v>46316</v>
      </c>
      <c r="L65" s="3"/>
      <c r="M65" s="3"/>
      <c r="N65" s="3" t="str">
        <f ca="1">IF(K65="","",IF(TODAY()&gt;K65,"ATRASADO",IF(TODAY()=K65,"VENCE HOJE",IF(K65-TODAY()&lt;=2,"ATENÇÃO","NO PRAZO"))))</f>
        <v>NO PRAZO</v>
      </c>
      <c r="O65" s="4" t="s">
        <v>4</v>
      </c>
      <c r="P65" s="4" t="s">
        <v>2</v>
      </c>
      <c r="Q65" s="4" t="s">
        <v>248</v>
      </c>
      <c r="R65" s="4" t="s">
        <v>6</v>
      </c>
      <c r="S65" s="4" t="s">
        <v>7</v>
      </c>
      <c r="T65" s="3">
        <v>46309</v>
      </c>
      <c r="U65" s="4" t="s">
        <v>174</v>
      </c>
      <c r="V65" s="4" t="s">
        <v>247</v>
      </c>
      <c r="W65" s="4" t="s">
        <v>10</v>
      </c>
      <c r="X65" s="4" t="s">
        <v>176</v>
      </c>
      <c r="Y65" s="4" t="s">
        <v>12</v>
      </c>
      <c r="Z65" s="4" t="s">
        <v>13</v>
      </c>
      <c r="AA65" s="4" t="s">
        <v>6</v>
      </c>
    </row>
    <row r="66" spans="2:27" x14ac:dyDescent="0.25">
      <c r="B66" s="3">
        <v>46309</v>
      </c>
      <c r="C66" s="4" t="s">
        <v>0</v>
      </c>
      <c r="D66" s="14">
        <v>2720019361</v>
      </c>
      <c r="E66" s="4" t="s">
        <v>2</v>
      </c>
      <c r="F66" s="4" t="s">
        <v>250</v>
      </c>
      <c r="G66" s="8">
        <v>3780</v>
      </c>
      <c r="H66" s="8">
        <v>24745</v>
      </c>
      <c r="I66" s="8">
        <v>3000</v>
      </c>
      <c r="J66" s="9">
        <v>55</v>
      </c>
      <c r="K66" s="3">
        <f t="shared" si="3"/>
        <v>46316</v>
      </c>
      <c r="L66" s="3"/>
      <c r="M66" s="3"/>
      <c r="N66" s="3" t="str">
        <f ca="1">IF(K66="","",IF(TODAY()&gt;K66,"ATRASADO",IF(TODAY()=K66,"VENCE HOJE",IF(K66-TODAY()&lt;=2,"ATENÇÃO","NO PRAZO"))))</f>
        <v>NO PRAZO</v>
      </c>
      <c r="O66" s="4" t="s">
        <v>4</v>
      </c>
      <c r="P66" s="4" t="s">
        <v>2</v>
      </c>
      <c r="Q66" s="4" t="s">
        <v>251</v>
      </c>
      <c r="R66" s="4" t="s">
        <v>6</v>
      </c>
      <c r="S66" s="4" t="s">
        <v>7</v>
      </c>
      <c r="T66" s="3">
        <v>46309</v>
      </c>
      <c r="U66" s="4" t="s">
        <v>8</v>
      </c>
      <c r="V66" s="4" t="s">
        <v>252</v>
      </c>
      <c r="W66" s="4" t="s">
        <v>10</v>
      </c>
      <c r="X66" s="4" t="s">
        <v>11</v>
      </c>
      <c r="Y66" s="4" t="s">
        <v>12</v>
      </c>
      <c r="Z66" s="4" t="s">
        <v>13</v>
      </c>
      <c r="AA66" s="4" t="s">
        <v>6</v>
      </c>
    </row>
    <row r="67" spans="2:27" x14ac:dyDescent="0.25">
      <c r="B67" s="3">
        <v>46302</v>
      </c>
      <c r="C67" s="4" t="s">
        <v>0</v>
      </c>
      <c r="D67" s="14">
        <v>2720019355</v>
      </c>
      <c r="E67" s="4" t="s">
        <v>2</v>
      </c>
      <c r="F67" s="4" t="s">
        <v>254</v>
      </c>
      <c r="G67" s="8">
        <v>2490</v>
      </c>
      <c r="H67" s="8">
        <v>25106</v>
      </c>
      <c r="I67" s="8">
        <v>20000</v>
      </c>
      <c r="J67" s="9">
        <v>26</v>
      </c>
      <c r="K67" s="3">
        <f t="shared" si="3"/>
        <v>46309</v>
      </c>
      <c r="L67" s="3"/>
      <c r="M67" s="3"/>
      <c r="N67" s="3" t="str">
        <f ca="1">IF(K67="","",IF(TODAY()&gt;K67,"ATRASADO",IF(TODAY()=K67,"VENCE HOJE",IF(K67-TODAY()&lt;=2,"ATENÇÃO","NO PRAZO"))))</f>
        <v>ATRASADO</v>
      </c>
      <c r="O67" s="4" t="s">
        <v>4</v>
      </c>
      <c r="P67" s="4" t="s">
        <v>2</v>
      </c>
      <c r="Q67" s="4" t="s">
        <v>257</v>
      </c>
      <c r="R67" s="4" t="s">
        <v>6</v>
      </c>
      <c r="S67" s="4" t="s">
        <v>7</v>
      </c>
      <c r="T67" s="3">
        <v>46302</v>
      </c>
      <c r="U67" s="4" t="s">
        <v>8</v>
      </c>
      <c r="V67" s="4" t="s">
        <v>256</v>
      </c>
      <c r="W67" s="4" t="s">
        <v>10</v>
      </c>
      <c r="X67" s="4" t="s">
        <v>11</v>
      </c>
      <c r="Y67" s="4" t="s">
        <v>12</v>
      </c>
      <c r="Z67" s="4" t="s">
        <v>13</v>
      </c>
      <c r="AA67" s="4" t="s">
        <v>6</v>
      </c>
    </row>
    <row r="68" spans="2:27" x14ac:dyDescent="0.25">
      <c r="B68" s="3">
        <v>46302</v>
      </c>
      <c r="C68" s="4" t="s">
        <v>0</v>
      </c>
      <c r="D68" s="14">
        <v>2720019355</v>
      </c>
      <c r="E68" s="4" t="s">
        <v>2</v>
      </c>
      <c r="F68" s="4" t="s">
        <v>254</v>
      </c>
      <c r="G68" s="8">
        <v>3780</v>
      </c>
      <c r="H68" s="8">
        <v>25106</v>
      </c>
      <c r="I68" s="8">
        <v>20000</v>
      </c>
      <c r="J68" s="9">
        <v>26</v>
      </c>
      <c r="K68" s="3">
        <f t="shared" si="3"/>
        <v>46309</v>
      </c>
      <c r="L68" s="3"/>
      <c r="M68" s="3"/>
      <c r="N68" s="3" t="str">
        <f ca="1">IF(K68="","",IF(TODAY()&gt;K68,"ATRASADO",IF(TODAY()=K68,"VENCE HOJE",IF(K68-TODAY()&lt;=2,"ATENÇÃO","NO PRAZO"))))</f>
        <v>ATRASADO</v>
      </c>
      <c r="O68" s="4" t="s">
        <v>4</v>
      </c>
      <c r="P68" s="4" t="s">
        <v>2</v>
      </c>
      <c r="Q68" s="4" t="s">
        <v>258</v>
      </c>
      <c r="R68" s="4" t="s">
        <v>6</v>
      </c>
      <c r="S68" s="4" t="s">
        <v>7</v>
      </c>
      <c r="T68" s="3">
        <v>46302</v>
      </c>
      <c r="U68" s="4" t="s">
        <v>8</v>
      </c>
      <c r="V68" s="4" t="s">
        <v>256</v>
      </c>
      <c r="W68" s="4" t="s">
        <v>10</v>
      </c>
      <c r="X68" s="4" t="s">
        <v>11</v>
      </c>
      <c r="Y68" s="4" t="s">
        <v>12</v>
      </c>
      <c r="Z68" s="4" t="s">
        <v>13</v>
      </c>
      <c r="AA68" s="4" t="s">
        <v>6</v>
      </c>
    </row>
    <row r="69" spans="2:27" x14ac:dyDescent="0.25">
      <c r="B69" s="3">
        <v>46308</v>
      </c>
      <c r="C69" s="4" t="s">
        <v>0</v>
      </c>
      <c r="D69" s="14">
        <v>2720019355</v>
      </c>
      <c r="E69" s="4" t="s">
        <v>2</v>
      </c>
      <c r="F69" s="4" t="s">
        <v>254</v>
      </c>
      <c r="G69" s="8">
        <v>3780</v>
      </c>
      <c r="H69" s="8">
        <v>25106</v>
      </c>
      <c r="I69" s="8">
        <v>20000</v>
      </c>
      <c r="J69" s="9">
        <v>26</v>
      </c>
      <c r="K69" s="3">
        <f t="shared" si="3"/>
        <v>46315</v>
      </c>
      <c r="L69" s="3"/>
      <c r="M69" s="3"/>
      <c r="N69" s="3" t="str">
        <f ca="1">IF(K69="","",IF(TODAY()&gt;K69,"ATRASADO",IF(TODAY()=K69,"VENCE HOJE",IF(K69-TODAY()&lt;=2,"ATENÇÃO","NO PRAZO"))))</f>
        <v>NO PRAZO</v>
      </c>
      <c r="O69" s="4" t="s">
        <v>4</v>
      </c>
      <c r="P69" s="4" t="s">
        <v>2</v>
      </c>
      <c r="Q69" s="4" t="s">
        <v>255</v>
      </c>
      <c r="R69" s="4" t="s">
        <v>6</v>
      </c>
      <c r="S69" s="4" t="s">
        <v>7</v>
      </c>
      <c r="T69" s="3">
        <v>46308</v>
      </c>
      <c r="U69" s="4" t="s">
        <v>8</v>
      </c>
      <c r="V69" s="4" t="s">
        <v>256</v>
      </c>
      <c r="W69" s="4" t="s">
        <v>10</v>
      </c>
      <c r="X69" s="4" t="s">
        <v>11</v>
      </c>
      <c r="Y69" s="4" t="s">
        <v>12</v>
      </c>
      <c r="Z69" s="4" t="s">
        <v>13</v>
      </c>
      <c r="AA69" s="4" t="s">
        <v>6</v>
      </c>
    </row>
    <row r="70" spans="2:27" x14ac:dyDescent="0.25">
      <c r="B70" s="3">
        <v>46303</v>
      </c>
      <c r="C70" s="4" t="s">
        <v>95</v>
      </c>
      <c r="D70" s="14">
        <v>2720017635</v>
      </c>
      <c r="E70" s="4" t="s">
        <v>2</v>
      </c>
      <c r="F70" s="4" t="s">
        <v>260</v>
      </c>
      <c r="G70" s="8">
        <v>4032</v>
      </c>
      <c r="H70" s="8">
        <v>29434</v>
      </c>
      <c r="I70" s="8">
        <v>25000</v>
      </c>
      <c r="J70" s="9">
        <v>14.3</v>
      </c>
      <c r="K70" s="3">
        <f t="shared" si="3"/>
        <v>46310</v>
      </c>
      <c r="L70" s="3"/>
      <c r="M70" s="3"/>
      <c r="N70" s="3" t="str">
        <f ca="1">IF(K70="","",IF(TODAY()&gt;K70,"ATRASADO",IF(TODAY()=K70,"VENCE HOJE",IF(K70-TODAY()&lt;=2,"ATENÇÃO","NO PRAZO"))))</f>
        <v>ATRASADO</v>
      </c>
      <c r="O70" s="4" t="s">
        <v>4</v>
      </c>
      <c r="P70" s="4" t="s">
        <v>2</v>
      </c>
      <c r="Q70" s="4" t="s">
        <v>261</v>
      </c>
      <c r="R70" s="4" t="s">
        <v>6</v>
      </c>
      <c r="S70" s="4" t="s">
        <v>7</v>
      </c>
      <c r="T70" s="3">
        <v>46303</v>
      </c>
      <c r="U70" s="4" t="s">
        <v>81</v>
      </c>
      <c r="V70" s="4" t="s">
        <v>262</v>
      </c>
      <c r="W70" s="4" t="s">
        <v>10</v>
      </c>
      <c r="X70" s="4" t="s">
        <v>83</v>
      </c>
      <c r="Y70" s="4" t="s">
        <v>12</v>
      </c>
      <c r="Z70" s="4" t="s">
        <v>13</v>
      </c>
      <c r="AA70" s="4" t="s">
        <v>6</v>
      </c>
    </row>
    <row r="71" spans="2:27" x14ac:dyDescent="0.25">
      <c r="B71" s="3">
        <v>46304</v>
      </c>
      <c r="C71" s="4" t="s">
        <v>95</v>
      </c>
      <c r="D71" s="14">
        <v>2720017635</v>
      </c>
      <c r="E71" s="4" t="s">
        <v>2</v>
      </c>
      <c r="F71" s="4" t="s">
        <v>260</v>
      </c>
      <c r="G71" s="8">
        <v>5184</v>
      </c>
      <c r="H71" s="8">
        <v>29434</v>
      </c>
      <c r="I71" s="8">
        <v>25000</v>
      </c>
      <c r="J71" s="9">
        <v>14.3</v>
      </c>
      <c r="K71" s="3">
        <f t="shared" si="3"/>
        <v>46311</v>
      </c>
      <c r="L71" s="3"/>
      <c r="M71" s="3"/>
      <c r="N71" s="3" t="str">
        <f ca="1">IF(K71="","",IF(TODAY()&gt;K71,"ATRASADO",IF(TODAY()=K71,"VENCE HOJE",IF(K71-TODAY()&lt;=2,"ATENÇÃO","NO PRAZO"))))</f>
        <v>VENCE HOJE</v>
      </c>
      <c r="O71" s="4" t="s">
        <v>4</v>
      </c>
      <c r="P71" s="4" t="s">
        <v>2</v>
      </c>
      <c r="Q71" s="4" t="s">
        <v>265</v>
      </c>
      <c r="R71" s="4" t="s">
        <v>6</v>
      </c>
      <c r="S71" s="4" t="s">
        <v>7</v>
      </c>
      <c r="T71" s="3">
        <v>46304</v>
      </c>
      <c r="U71" s="4" t="s">
        <v>81</v>
      </c>
      <c r="V71" s="4" t="s">
        <v>262</v>
      </c>
      <c r="W71" s="4" t="s">
        <v>10</v>
      </c>
      <c r="X71" s="4" t="s">
        <v>83</v>
      </c>
      <c r="Y71" s="4" t="s">
        <v>12</v>
      </c>
      <c r="Z71" s="4" t="s">
        <v>13</v>
      </c>
      <c r="AA71" s="4" t="s">
        <v>6</v>
      </c>
    </row>
    <row r="72" spans="2:27" x14ac:dyDescent="0.25">
      <c r="B72" s="3">
        <v>46308</v>
      </c>
      <c r="C72" s="4" t="s">
        <v>95</v>
      </c>
      <c r="D72" s="14">
        <v>2720017635</v>
      </c>
      <c r="E72" s="4" t="s">
        <v>2</v>
      </c>
      <c r="F72" s="4" t="s">
        <v>260</v>
      </c>
      <c r="G72" s="8">
        <v>10080</v>
      </c>
      <c r="H72" s="8">
        <v>29434</v>
      </c>
      <c r="I72" s="8">
        <v>25000</v>
      </c>
      <c r="J72" s="9">
        <v>14.3</v>
      </c>
      <c r="K72" s="3">
        <f t="shared" si="3"/>
        <v>46315</v>
      </c>
      <c r="L72" s="3"/>
      <c r="M72" s="3"/>
      <c r="N72" s="3" t="str">
        <f ca="1">IF(K72="","",IF(TODAY()&gt;K72,"ATRASADO",IF(TODAY()=K72,"VENCE HOJE",IF(K72-TODAY()&lt;=2,"ATENÇÃO","NO PRAZO"))))</f>
        <v>NO PRAZO</v>
      </c>
      <c r="O72" s="4" t="s">
        <v>4</v>
      </c>
      <c r="P72" s="4" t="s">
        <v>2</v>
      </c>
      <c r="Q72" s="4" t="s">
        <v>264</v>
      </c>
      <c r="R72" s="4" t="s">
        <v>6</v>
      </c>
      <c r="S72" s="4" t="s">
        <v>7</v>
      </c>
      <c r="T72" s="3">
        <v>46308</v>
      </c>
      <c r="U72" s="4" t="s">
        <v>81</v>
      </c>
      <c r="V72" s="4" t="s">
        <v>262</v>
      </c>
      <c r="W72" s="4" t="s">
        <v>10</v>
      </c>
      <c r="X72" s="4" t="s">
        <v>83</v>
      </c>
      <c r="Y72" s="4" t="s">
        <v>12</v>
      </c>
      <c r="Z72" s="4" t="s">
        <v>13</v>
      </c>
      <c r="AA72" s="4" t="s">
        <v>6</v>
      </c>
    </row>
    <row r="73" spans="2:27" x14ac:dyDescent="0.25">
      <c r="B73" s="3">
        <v>46309</v>
      </c>
      <c r="C73" s="4" t="s">
        <v>95</v>
      </c>
      <c r="D73" s="14">
        <v>2720017635</v>
      </c>
      <c r="E73" s="4" t="s">
        <v>2</v>
      </c>
      <c r="F73" s="4" t="s">
        <v>260</v>
      </c>
      <c r="G73" s="8">
        <v>5184</v>
      </c>
      <c r="H73" s="8">
        <v>29434</v>
      </c>
      <c r="I73" s="8">
        <v>25000</v>
      </c>
      <c r="J73" s="9">
        <v>14.3</v>
      </c>
      <c r="K73" s="3">
        <f t="shared" si="3"/>
        <v>46316</v>
      </c>
      <c r="L73" s="3"/>
      <c r="M73" s="3"/>
      <c r="N73" s="3" t="str">
        <f ca="1">IF(K73="","",IF(TODAY()&gt;K73,"ATRASADO",IF(TODAY()=K73,"VENCE HOJE",IF(K73-TODAY()&lt;=2,"ATENÇÃO","NO PRAZO"))))</f>
        <v>NO PRAZO</v>
      </c>
      <c r="O73" s="4" t="s">
        <v>4</v>
      </c>
      <c r="P73" s="4" t="s">
        <v>2</v>
      </c>
      <c r="Q73" s="4" t="s">
        <v>263</v>
      </c>
      <c r="R73" s="4" t="s">
        <v>6</v>
      </c>
      <c r="S73" s="4" t="s">
        <v>7</v>
      </c>
      <c r="T73" s="3">
        <v>46309</v>
      </c>
      <c r="U73" s="4" t="s">
        <v>81</v>
      </c>
      <c r="V73" s="4" t="s">
        <v>262</v>
      </c>
      <c r="W73" s="4" t="s">
        <v>10</v>
      </c>
      <c r="X73" s="4" t="s">
        <v>83</v>
      </c>
      <c r="Y73" s="4" t="s">
        <v>12</v>
      </c>
      <c r="Z73" s="4" t="s">
        <v>13</v>
      </c>
      <c r="AA73" s="4" t="s">
        <v>6</v>
      </c>
    </row>
    <row r="74" spans="2:27" x14ac:dyDescent="0.25">
      <c r="B74" s="3">
        <v>46308</v>
      </c>
      <c r="C74" s="4" t="s">
        <v>0</v>
      </c>
      <c r="D74" s="14">
        <v>2720017389</v>
      </c>
      <c r="E74" s="4" t="s">
        <v>2</v>
      </c>
      <c r="F74" s="4" t="s">
        <v>267</v>
      </c>
      <c r="G74" s="8">
        <v>16800</v>
      </c>
      <c r="H74" s="8">
        <v>33092</v>
      </c>
      <c r="I74" s="8">
        <v>0</v>
      </c>
      <c r="J74" s="9">
        <v>37</v>
      </c>
      <c r="K74" s="3">
        <f t="shared" si="3"/>
        <v>46315</v>
      </c>
      <c r="L74" s="3"/>
      <c r="M74" s="3"/>
      <c r="N74" s="3" t="str">
        <f ca="1">IF(K74="","",IF(TODAY()&gt;K74,"ATRASADO",IF(TODAY()=K74,"VENCE HOJE",IF(K74-TODAY()&lt;=2,"ATENÇÃO","NO PRAZO"))))</f>
        <v>NO PRAZO</v>
      </c>
      <c r="O74" s="4" t="s">
        <v>4</v>
      </c>
      <c r="P74" s="4" t="s">
        <v>2</v>
      </c>
      <c r="Q74" s="4" t="s">
        <v>268</v>
      </c>
      <c r="R74" s="4" t="s">
        <v>6</v>
      </c>
      <c r="S74" s="4" t="s">
        <v>7</v>
      </c>
      <c r="T74" s="3">
        <v>46308</v>
      </c>
      <c r="U74" s="4" t="s">
        <v>195</v>
      </c>
      <c r="V74" s="4" t="s">
        <v>269</v>
      </c>
      <c r="W74" s="4" t="s">
        <v>10</v>
      </c>
      <c r="X74" s="4" t="s">
        <v>197</v>
      </c>
      <c r="Y74" s="4" t="s">
        <v>12</v>
      </c>
      <c r="Z74" s="4" t="s">
        <v>13</v>
      </c>
      <c r="AA74" s="4" t="s">
        <v>6</v>
      </c>
    </row>
    <row r="75" spans="2:27" x14ac:dyDescent="0.25">
      <c r="B75" s="3">
        <v>46296</v>
      </c>
      <c r="C75" s="4" t="s">
        <v>42</v>
      </c>
      <c r="D75" s="14">
        <v>2720018720</v>
      </c>
      <c r="E75" s="4" t="s">
        <v>2</v>
      </c>
      <c r="F75" s="4" t="s">
        <v>271</v>
      </c>
      <c r="G75" s="8">
        <v>10080</v>
      </c>
      <c r="H75" s="8">
        <v>34337</v>
      </c>
      <c r="I75" s="8">
        <v>40000</v>
      </c>
      <c r="J75" s="9">
        <v>14.6</v>
      </c>
      <c r="K75" s="3">
        <f t="shared" si="3"/>
        <v>46303</v>
      </c>
      <c r="L75" s="3"/>
      <c r="M75" s="3"/>
      <c r="N75" s="3" t="str">
        <f ca="1">IF(K75="","",IF(TODAY()&gt;K75,"ATRASADO",IF(TODAY()=K75,"VENCE HOJE",IF(K75-TODAY()&lt;=2,"ATENÇÃO","NO PRAZO"))))</f>
        <v>ATRASADO</v>
      </c>
      <c r="O75" s="4" t="s">
        <v>4</v>
      </c>
      <c r="P75" s="4" t="s">
        <v>2</v>
      </c>
      <c r="Q75" s="4" t="s">
        <v>275</v>
      </c>
      <c r="R75" s="4" t="s">
        <v>6</v>
      </c>
      <c r="S75" s="4" t="s">
        <v>7</v>
      </c>
      <c r="T75" s="3">
        <v>46296</v>
      </c>
      <c r="U75" s="4" t="s">
        <v>81</v>
      </c>
      <c r="V75" s="4" t="s">
        <v>276</v>
      </c>
      <c r="W75" s="4" t="s">
        <v>10</v>
      </c>
      <c r="X75" s="4" t="s">
        <v>83</v>
      </c>
      <c r="Y75" s="4" t="s">
        <v>12</v>
      </c>
      <c r="Z75" s="4" t="s">
        <v>13</v>
      </c>
      <c r="AA75" s="4" t="s">
        <v>6</v>
      </c>
    </row>
    <row r="76" spans="2:27" x14ac:dyDescent="0.25">
      <c r="B76" s="3">
        <v>46308</v>
      </c>
      <c r="C76" s="4" t="s">
        <v>42</v>
      </c>
      <c r="D76" s="14">
        <v>2720018720</v>
      </c>
      <c r="E76" s="4" t="s">
        <v>2</v>
      </c>
      <c r="F76" s="4" t="s">
        <v>271</v>
      </c>
      <c r="G76" s="8">
        <v>4704</v>
      </c>
      <c r="H76" s="8">
        <v>34337</v>
      </c>
      <c r="I76" s="8">
        <v>40000</v>
      </c>
      <c r="J76" s="9">
        <v>14.6</v>
      </c>
      <c r="K76" s="3">
        <f t="shared" si="3"/>
        <v>46315</v>
      </c>
      <c r="L76" s="3"/>
      <c r="M76" s="3"/>
      <c r="N76" s="3" t="str">
        <f ca="1">IF(K76="","",IF(TODAY()&gt;K76,"ATRASADO",IF(TODAY()=K76,"VENCE HOJE",IF(K76-TODAY()&lt;=2,"ATENÇÃO","NO PRAZO"))))</f>
        <v>NO PRAZO</v>
      </c>
      <c r="O76" s="4" t="s">
        <v>4</v>
      </c>
      <c r="P76" s="4" t="s">
        <v>2</v>
      </c>
      <c r="Q76" s="4" t="s">
        <v>272</v>
      </c>
      <c r="R76" s="4" t="s">
        <v>6</v>
      </c>
      <c r="S76" s="4" t="s">
        <v>7</v>
      </c>
      <c r="T76" s="3">
        <v>46308</v>
      </c>
      <c r="U76" s="4" t="s">
        <v>81</v>
      </c>
      <c r="V76" s="4" t="s">
        <v>273</v>
      </c>
      <c r="W76" s="4" t="s">
        <v>10</v>
      </c>
      <c r="X76" s="4" t="s">
        <v>83</v>
      </c>
      <c r="Y76" s="4" t="s">
        <v>12</v>
      </c>
      <c r="Z76" s="4" t="s">
        <v>13</v>
      </c>
      <c r="AA76" s="4" t="s">
        <v>6</v>
      </c>
    </row>
    <row r="77" spans="2:27" x14ac:dyDescent="0.25">
      <c r="B77" s="3">
        <v>46308</v>
      </c>
      <c r="C77" s="4" t="s">
        <v>42</v>
      </c>
      <c r="D77" s="14">
        <v>2720018720</v>
      </c>
      <c r="E77" s="4" t="s">
        <v>2</v>
      </c>
      <c r="F77" s="4" t="s">
        <v>271</v>
      </c>
      <c r="G77" s="8">
        <v>3360</v>
      </c>
      <c r="H77" s="8">
        <v>34337</v>
      </c>
      <c r="I77" s="8">
        <v>40000</v>
      </c>
      <c r="J77" s="9">
        <v>14.6</v>
      </c>
      <c r="K77" s="3">
        <f t="shared" si="3"/>
        <v>46315</v>
      </c>
      <c r="L77" s="3"/>
      <c r="M77" s="3"/>
      <c r="N77" s="3" t="str">
        <f ca="1">IF(K77="","",IF(TODAY()&gt;K77,"ATRASADO",IF(TODAY()=K77,"VENCE HOJE",IF(K77-TODAY()&lt;=2,"ATENÇÃO","NO PRAZO"))))</f>
        <v>NO PRAZO</v>
      </c>
      <c r="O77" s="4" t="s">
        <v>4</v>
      </c>
      <c r="P77" s="4" t="s">
        <v>2</v>
      </c>
      <c r="Q77" s="4" t="s">
        <v>274</v>
      </c>
      <c r="R77" s="4" t="s">
        <v>6</v>
      </c>
      <c r="S77" s="4" t="s">
        <v>7</v>
      </c>
      <c r="T77" s="3">
        <v>46308</v>
      </c>
      <c r="U77" s="4" t="s">
        <v>81</v>
      </c>
      <c r="V77" s="4" t="s">
        <v>273</v>
      </c>
      <c r="W77" s="4" t="s">
        <v>10</v>
      </c>
      <c r="X77" s="4" t="s">
        <v>83</v>
      </c>
      <c r="Y77" s="4" t="s">
        <v>12</v>
      </c>
      <c r="Z77" s="4" t="s">
        <v>13</v>
      </c>
      <c r="AA77" s="4" t="s">
        <v>6</v>
      </c>
    </row>
    <row r="78" spans="2:27" x14ac:dyDescent="0.25">
      <c r="B78" s="3">
        <v>46302</v>
      </c>
      <c r="C78" s="4" t="s">
        <v>42</v>
      </c>
      <c r="D78" s="14">
        <v>2720019137</v>
      </c>
      <c r="E78" s="4" t="s">
        <v>2</v>
      </c>
      <c r="F78" s="4" t="s">
        <v>278</v>
      </c>
      <c r="G78" s="8">
        <v>5184</v>
      </c>
      <c r="H78" s="8">
        <v>37140</v>
      </c>
      <c r="I78" s="8">
        <v>50000</v>
      </c>
      <c r="J78" s="9">
        <v>54.1</v>
      </c>
      <c r="K78" s="3">
        <f t="shared" si="3"/>
        <v>46309</v>
      </c>
      <c r="L78" s="3"/>
      <c r="M78" s="3"/>
      <c r="N78" s="3" t="str">
        <f ca="1">IF(K78="","",IF(TODAY()&gt;K78,"ATRASADO",IF(TODAY()=K78,"VENCE HOJE",IF(K78-TODAY()&lt;=2,"ATENÇÃO","NO PRAZO"))))</f>
        <v>ATRASADO</v>
      </c>
      <c r="O78" s="4" t="s">
        <v>4</v>
      </c>
      <c r="P78" s="4" t="s">
        <v>2</v>
      </c>
      <c r="Q78" s="4" t="s">
        <v>283</v>
      </c>
      <c r="R78" s="4" t="s">
        <v>6</v>
      </c>
      <c r="S78" s="4" t="s">
        <v>7</v>
      </c>
      <c r="T78" s="3">
        <v>46302</v>
      </c>
      <c r="U78" s="4" t="s">
        <v>81</v>
      </c>
      <c r="V78" s="4" t="s">
        <v>280</v>
      </c>
      <c r="W78" s="4" t="s">
        <v>10</v>
      </c>
      <c r="X78" s="4" t="s">
        <v>83</v>
      </c>
      <c r="Y78" s="4" t="s">
        <v>12</v>
      </c>
      <c r="Z78" s="4" t="s">
        <v>13</v>
      </c>
      <c r="AA78" s="4" t="s">
        <v>6</v>
      </c>
    </row>
    <row r="79" spans="2:27" x14ac:dyDescent="0.25">
      <c r="B79" s="3">
        <v>46303</v>
      </c>
      <c r="C79" s="4" t="s">
        <v>42</v>
      </c>
      <c r="D79" s="14">
        <v>2720019137</v>
      </c>
      <c r="E79" s="4" t="s">
        <v>2</v>
      </c>
      <c r="F79" s="4" t="s">
        <v>278</v>
      </c>
      <c r="G79" s="8">
        <v>6624</v>
      </c>
      <c r="H79" s="8">
        <v>37140</v>
      </c>
      <c r="I79" s="8">
        <v>50000</v>
      </c>
      <c r="J79" s="9">
        <v>54.1</v>
      </c>
      <c r="K79" s="3">
        <f t="shared" si="3"/>
        <v>46310</v>
      </c>
      <c r="L79" s="3"/>
      <c r="M79" s="3"/>
      <c r="N79" s="3" t="str">
        <f ca="1">IF(K79="","",IF(TODAY()&gt;K79,"ATRASADO",IF(TODAY()=K79,"VENCE HOJE",IF(K79-TODAY()&lt;=2,"ATENÇÃO","NO PRAZO"))))</f>
        <v>ATRASADO</v>
      </c>
      <c r="O79" s="4" t="s">
        <v>4</v>
      </c>
      <c r="P79" s="4" t="s">
        <v>2</v>
      </c>
      <c r="Q79" s="4" t="s">
        <v>281</v>
      </c>
      <c r="R79" s="4" t="s">
        <v>6</v>
      </c>
      <c r="S79" s="4" t="s">
        <v>7</v>
      </c>
      <c r="T79" s="3">
        <v>46303</v>
      </c>
      <c r="U79" s="4" t="s">
        <v>81</v>
      </c>
      <c r="V79" s="4" t="s">
        <v>282</v>
      </c>
      <c r="W79" s="4" t="s">
        <v>10</v>
      </c>
      <c r="X79" s="4" t="s">
        <v>83</v>
      </c>
      <c r="Y79" s="4" t="s">
        <v>12</v>
      </c>
      <c r="Z79" s="4" t="s">
        <v>13</v>
      </c>
      <c r="AA79" s="4" t="s">
        <v>6</v>
      </c>
    </row>
    <row r="80" spans="2:27" x14ac:dyDescent="0.25">
      <c r="B80" s="3">
        <v>46301</v>
      </c>
      <c r="C80" s="4" t="s">
        <v>0</v>
      </c>
      <c r="D80" s="14">
        <v>2720017472</v>
      </c>
      <c r="E80" s="4" t="s">
        <v>2</v>
      </c>
      <c r="F80" s="4" t="s">
        <v>285</v>
      </c>
      <c r="G80" s="8">
        <v>2600</v>
      </c>
      <c r="H80" s="8">
        <v>38008</v>
      </c>
      <c r="I80" s="8">
        <v>100000</v>
      </c>
      <c r="J80" s="9">
        <v>10.199999999999999</v>
      </c>
      <c r="K80" s="3">
        <f t="shared" si="3"/>
        <v>46308</v>
      </c>
      <c r="L80" s="3"/>
      <c r="M80" s="3"/>
      <c r="N80" s="3" t="str">
        <f ca="1">IF(K80="","",IF(TODAY()&gt;K80,"ATRASADO",IF(TODAY()=K80,"VENCE HOJE",IF(K80-TODAY()&lt;=2,"ATENÇÃO","NO PRAZO"))))</f>
        <v>ATRASADO</v>
      </c>
      <c r="O80" s="4" t="s">
        <v>4</v>
      </c>
      <c r="P80" s="4" t="s">
        <v>2</v>
      </c>
      <c r="Q80" s="4" t="s">
        <v>289</v>
      </c>
      <c r="R80" s="4" t="s">
        <v>6</v>
      </c>
      <c r="S80" s="4" t="s">
        <v>7</v>
      </c>
      <c r="T80" s="3">
        <v>46301</v>
      </c>
      <c r="U80" s="4" t="s">
        <v>174</v>
      </c>
      <c r="V80" s="4" t="s">
        <v>290</v>
      </c>
      <c r="W80" s="4" t="s">
        <v>10</v>
      </c>
      <c r="X80" s="4" t="s">
        <v>176</v>
      </c>
      <c r="Y80" s="4" t="s">
        <v>12</v>
      </c>
      <c r="Z80" s="4" t="s">
        <v>13</v>
      </c>
      <c r="AA80" s="4" t="s">
        <v>6</v>
      </c>
    </row>
    <row r="81" spans="2:27" x14ac:dyDescent="0.25">
      <c r="B81" s="3">
        <v>46301</v>
      </c>
      <c r="C81" s="4" t="s">
        <v>0</v>
      </c>
      <c r="D81" s="14">
        <v>2720017472</v>
      </c>
      <c r="E81" s="4" t="s">
        <v>2</v>
      </c>
      <c r="F81" s="4" t="s">
        <v>285</v>
      </c>
      <c r="G81" s="8">
        <v>1600</v>
      </c>
      <c r="H81" s="8">
        <v>38008</v>
      </c>
      <c r="I81" s="8">
        <v>100000</v>
      </c>
      <c r="J81" s="9">
        <v>10.199999999999999</v>
      </c>
      <c r="K81" s="3">
        <f t="shared" si="3"/>
        <v>46308</v>
      </c>
      <c r="L81" s="3"/>
      <c r="M81" s="3"/>
      <c r="N81" s="3" t="str">
        <f ca="1">IF(K81="","",IF(TODAY()&gt;K81,"ATRASADO",IF(TODAY()=K81,"VENCE HOJE",IF(K81-TODAY()&lt;=2,"ATENÇÃO","NO PRAZO"))))</f>
        <v>ATRASADO</v>
      </c>
      <c r="O81" s="4" t="s">
        <v>4</v>
      </c>
      <c r="P81" s="4" t="s">
        <v>2</v>
      </c>
      <c r="Q81" s="4" t="s">
        <v>295</v>
      </c>
      <c r="R81" s="4" t="s">
        <v>6</v>
      </c>
      <c r="S81" s="4" t="s">
        <v>7</v>
      </c>
      <c r="T81" s="3">
        <v>46301</v>
      </c>
      <c r="U81" s="4" t="s">
        <v>174</v>
      </c>
      <c r="V81" s="4" t="s">
        <v>290</v>
      </c>
      <c r="W81" s="4" t="s">
        <v>10</v>
      </c>
      <c r="X81" s="4" t="s">
        <v>176</v>
      </c>
      <c r="Y81" s="4" t="s">
        <v>12</v>
      </c>
      <c r="Z81" s="4" t="s">
        <v>13</v>
      </c>
      <c r="AA81" s="4" t="s">
        <v>6</v>
      </c>
    </row>
    <row r="82" spans="2:27" x14ac:dyDescent="0.25">
      <c r="B82" s="3">
        <v>46304</v>
      </c>
      <c r="C82" s="4" t="s">
        <v>0</v>
      </c>
      <c r="D82" s="14">
        <v>2720017472</v>
      </c>
      <c r="E82" s="4" t="s">
        <v>2</v>
      </c>
      <c r="F82" s="4" t="s">
        <v>285</v>
      </c>
      <c r="G82" s="8">
        <v>5000</v>
      </c>
      <c r="H82" s="8">
        <v>38008</v>
      </c>
      <c r="I82" s="8">
        <v>100000</v>
      </c>
      <c r="J82" s="9">
        <v>10.199999999999999</v>
      </c>
      <c r="K82" s="3">
        <f t="shared" si="3"/>
        <v>46311</v>
      </c>
      <c r="L82" s="3"/>
      <c r="M82" s="3"/>
      <c r="N82" s="3" t="str">
        <f ca="1">IF(K82="","",IF(TODAY()&gt;K82,"ATRASADO",IF(TODAY()=K82,"VENCE HOJE",IF(K82-TODAY()&lt;=2,"ATENÇÃO","NO PRAZO"))))</f>
        <v>VENCE HOJE</v>
      </c>
      <c r="O82" s="4" t="s">
        <v>4</v>
      </c>
      <c r="P82" s="4" t="s">
        <v>2</v>
      </c>
      <c r="Q82" s="4" t="s">
        <v>286</v>
      </c>
      <c r="R82" s="4" t="s">
        <v>6</v>
      </c>
      <c r="S82" s="4" t="s">
        <v>7</v>
      </c>
      <c r="T82" s="3">
        <v>46304</v>
      </c>
      <c r="U82" s="4" t="s">
        <v>174</v>
      </c>
      <c r="V82" s="4" t="s">
        <v>287</v>
      </c>
      <c r="W82" s="4" t="s">
        <v>10</v>
      </c>
      <c r="X82" s="4" t="s">
        <v>176</v>
      </c>
      <c r="Y82" s="4" t="s">
        <v>12</v>
      </c>
      <c r="Z82" s="4" t="s">
        <v>13</v>
      </c>
      <c r="AA82" s="4" t="s">
        <v>6</v>
      </c>
    </row>
    <row r="83" spans="2:27" x14ac:dyDescent="0.25">
      <c r="B83" s="3">
        <v>46304</v>
      </c>
      <c r="C83" s="4" t="s">
        <v>0</v>
      </c>
      <c r="D83" s="14">
        <v>2720017472</v>
      </c>
      <c r="E83" s="4" t="s">
        <v>2</v>
      </c>
      <c r="F83" s="4" t="s">
        <v>285</v>
      </c>
      <c r="G83" s="8">
        <v>8000</v>
      </c>
      <c r="H83" s="8">
        <v>38008</v>
      </c>
      <c r="I83" s="8">
        <v>100000</v>
      </c>
      <c r="J83" s="9">
        <v>10.199999999999999</v>
      </c>
      <c r="K83" s="3">
        <f t="shared" si="3"/>
        <v>46311</v>
      </c>
      <c r="L83" s="3"/>
      <c r="M83" s="3"/>
      <c r="N83" s="3" t="str">
        <f ca="1">IF(K83="","",IF(TODAY()&gt;K83,"ATRASADO",IF(TODAY()=K83,"VENCE HOJE",IF(K83-TODAY()&lt;=2,"ATENÇÃO","NO PRAZO"))))</f>
        <v>VENCE HOJE</v>
      </c>
      <c r="O83" s="4" t="s">
        <v>4</v>
      </c>
      <c r="P83" s="4" t="s">
        <v>2</v>
      </c>
      <c r="Q83" s="4" t="s">
        <v>288</v>
      </c>
      <c r="R83" s="4" t="s">
        <v>6</v>
      </c>
      <c r="S83" s="4" t="s">
        <v>7</v>
      </c>
      <c r="T83" s="3">
        <v>46304</v>
      </c>
      <c r="U83" s="4" t="s">
        <v>174</v>
      </c>
      <c r="V83" s="4" t="s">
        <v>287</v>
      </c>
      <c r="W83" s="4" t="s">
        <v>10</v>
      </c>
      <c r="X83" s="4" t="s">
        <v>176</v>
      </c>
      <c r="Y83" s="4" t="s">
        <v>12</v>
      </c>
      <c r="Z83" s="4" t="s">
        <v>13</v>
      </c>
      <c r="AA83" s="4" t="s">
        <v>6</v>
      </c>
    </row>
    <row r="84" spans="2:27" x14ac:dyDescent="0.25">
      <c r="B84" s="3">
        <v>46309</v>
      </c>
      <c r="C84" s="4" t="s">
        <v>0</v>
      </c>
      <c r="D84" s="14">
        <v>2720017472</v>
      </c>
      <c r="E84" s="4" t="s">
        <v>2</v>
      </c>
      <c r="F84" s="4" t="s">
        <v>285</v>
      </c>
      <c r="G84" s="8">
        <v>8000</v>
      </c>
      <c r="H84" s="8">
        <v>38008</v>
      </c>
      <c r="I84" s="8">
        <v>100000</v>
      </c>
      <c r="J84" s="9">
        <v>10.199999999999999</v>
      </c>
      <c r="K84" s="3">
        <f t="shared" si="3"/>
        <v>46316</v>
      </c>
      <c r="L84" s="3"/>
      <c r="M84" s="3"/>
      <c r="N84" s="3" t="str">
        <f ca="1">IF(K84="","",IF(TODAY()&gt;K84,"ATRASADO",IF(TODAY()=K84,"VENCE HOJE",IF(K84-TODAY()&lt;=2,"ATENÇÃO","NO PRAZO"))))</f>
        <v>NO PRAZO</v>
      </c>
      <c r="O84" s="4" t="s">
        <v>4</v>
      </c>
      <c r="P84" s="4" t="s">
        <v>2</v>
      </c>
      <c r="Q84" s="4" t="s">
        <v>291</v>
      </c>
      <c r="R84" s="4" t="s">
        <v>6</v>
      </c>
      <c r="S84" s="4" t="s">
        <v>7</v>
      </c>
      <c r="T84" s="3">
        <v>46309</v>
      </c>
      <c r="U84" s="4" t="s">
        <v>174</v>
      </c>
      <c r="V84" s="4" t="s">
        <v>292</v>
      </c>
      <c r="W84" s="4" t="s">
        <v>10</v>
      </c>
      <c r="X84" s="4" t="s">
        <v>176</v>
      </c>
      <c r="Y84" s="4" t="s">
        <v>12</v>
      </c>
      <c r="Z84" s="4" t="s">
        <v>13</v>
      </c>
      <c r="AA84" s="4" t="s">
        <v>6</v>
      </c>
    </row>
    <row r="85" spans="2:27" x14ac:dyDescent="0.25">
      <c r="B85" s="3">
        <v>46309</v>
      </c>
      <c r="C85" s="4" t="s">
        <v>0</v>
      </c>
      <c r="D85" s="14">
        <v>2720017472</v>
      </c>
      <c r="E85" s="4" t="s">
        <v>2</v>
      </c>
      <c r="F85" s="4" t="s">
        <v>285</v>
      </c>
      <c r="G85" s="8">
        <v>3800</v>
      </c>
      <c r="H85" s="8">
        <v>38008</v>
      </c>
      <c r="I85" s="8">
        <v>100000</v>
      </c>
      <c r="J85" s="9">
        <v>10.199999999999999</v>
      </c>
      <c r="K85" s="3">
        <f t="shared" si="3"/>
        <v>46316</v>
      </c>
      <c r="L85" s="3"/>
      <c r="M85" s="3"/>
      <c r="N85" s="3" t="str">
        <f ca="1">IF(K85="","",IF(TODAY()&gt;K85,"ATRASADO",IF(TODAY()=K85,"VENCE HOJE",IF(K85-TODAY()&lt;=2,"ATENÇÃO","NO PRAZO"))))</f>
        <v>NO PRAZO</v>
      </c>
      <c r="O85" s="4" t="s">
        <v>4</v>
      </c>
      <c r="P85" s="4" t="s">
        <v>2</v>
      </c>
      <c r="Q85" s="4" t="s">
        <v>293</v>
      </c>
      <c r="R85" s="4" t="s">
        <v>6</v>
      </c>
      <c r="S85" s="4" t="s">
        <v>7</v>
      </c>
      <c r="T85" s="3">
        <v>46309</v>
      </c>
      <c r="U85" s="4" t="s">
        <v>174</v>
      </c>
      <c r="V85" s="4" t="s">
        <v>294</v>
      </c>
      <c r="W85" s="4" t="s">
        <v>10</v>
      </c>
      <c r="X85" s="4" t="s">
        <v>176</v>
      </c>
      <c r="Y85" s="4" t="s">
        <v>12</v>
      </c>
      <c r="Z85" s="4" t="s">
        <v>13</v>
      </c>
      <c r="AA85" s="4" t="s">
        <v>6</v>
      </c>
    </row>
    <row r="86" spans="2:27" x14ac:dyDescent="0.25">
      <c r="B86" s="3">
        <v>46309</v>
      </c>
      <c r="C86" s="4" t="s">
        <v>0</v>
      </c>
      <c r="D86" s="14">
        <v>2720017472</v>
      </c>
      <c r="E86" s="4" t="s">
        <v>2</v>
      </c>
      <c r="F86" s="4" t="s">
        <v>285</v>
      </c>
      <c r="G86" s="8">
        <v>6000</v>
      </c>
      <c r="H86" s="8">
        <v>38008</v>
      </c>
      <c r="I86" s="8">
        <v>100000</v>
      </c>
      <c r="J86" s="9">
        <v>10.199999999999999</v>
      </c>
      <c r="K86" s="3">
        <f t="shared" si="3"/>
        <v>46316</v>
      </c>
      <c r="L86" s="3"/>
      <c r="M86" s="3"/>
      <c r="N86" s="3" t="str">
        <f ca="1">IF(K86="","",IF(TODAY()&gt;K86,"ATRASADO",IF(TODAY()=K86,"VENCE HOJE",IF(K86-TODAY()&lt;=2,"ATENÇÃO","NO PRAZO"))))</f>
        <v>NO PRAZO</v>
      </c>
      <c r="O86" s="4" t="s">
        <v>4</v>
      </c>
      <c r="P86" s="4" t="s">
        <v>2</v>
      </c>
      <c r="Q86" s="4" t="s">
        <v>296</v>
      </c>
      <c r="R86" s="4" t="s">
        <v>6</v>
      </c>
      <c r="S86" s="4" t="s">
        <v>7</v>
      </c>
      <c r="T86" s="3">
        <v>46309</v>
      </c>
      <c r="U86" s="4" t="s">
        <v>174</v>
      </c>
      <c r="V86" s="4" t="s">
        <v>292</v>
      </c>
      <c r="W86" s="4" t="s">
        <v>10</v>
      </c>
      <c r="X86" s="4" t="s">
        <v>176</v>
      </c>
      <c r="Y86" s="4" t="s">
        <v>12</v>
      </c>
      <c r="Z86" s="4" t="s">
        <v>13</v>
      </c>
      <c r="AA86" s="4" t="s">
        <v>6</v>
      </c>
    </row>
    <row r="87" spans="2:27" x14ac:dyDescent="0.25">
      <c r="B87" s="3">
        <v>46280</v>
      </c>
      <c r="C87" s="4" t="s">
        <v>50</v>
      </c>
      <c r="D87" s="14">
        <v>9295304144</v>
      </c>
      <c r="E87" s="4" t="s">
        <v>2</v>
      </c>
      <c r="F87" s="4" t="s">
        <v>298</v>
      </c>
      <c r="G87" s="8">
        <v>15000</v>
      </c>
      <c r="H87" s="8">
        <v>42766</v>
      </c>
      <c r="I87" s="8">
        <v>50000</v>
      </c>
      <c r="J87" s="9">
        <v>76.599999999999994</v>
      </c>
      <c r="K87" s="3">
        <f t="shared" si="3"/>
        <v>46287</v>
      </c>
      <c r="L87" s="3"/>
      <c r="M87" s="3"/>
      <c r="N87" s="3" t="str">
        <f ca="1">IF(K87="","",IF(TODAY()&gt;K87,"ATRASADO",IF(TODAY()=K87,"VENCE HOJE",IF(K87-TODAY()&lt;=2,"ATENÇÃO","NO PRAZO"))))</f>
        <v>ATRASADO</v>
      </c>
      <c r="O87" s="4" t="s">
        <v>4</v>
      </c>
      <c r="P87" s="4" t="s">
        <v>2</v>
      </c>
      <c r="Q87" s="4" t="s">
        <v>302</v>
      </c>
      <c r="R87" s="4" t="s">
        <v>6</v>
      </c>
      <c r="S87" s="4" t="s">
        <v>7</v>
      </c>
      <c r="T87" s="3">
        <v>46280</v>
      </c>
      <c r="U87" s="4" t="s">
        <v>300</v>
      </c>
      <c r="V87" s="4" t="s">
        <v>303</v>
      </c>
      <c r="W87" s="4" t="s">
        <v>10</v>
      </c>
      <c r="X87" s="4" t="s">
        <v>48</v>
      </c>
      <c r="Y87" s="4" t="s">
        <v>49</v>
      </c>
      <c r="Z87" s="4" t="s">
        <v>13</v>
      </c>
      <c r="AA87" s="4" t="s">
        <v>6</v>
      </c>
    </row>
    <row r="88" spans="2:27" x14ac:dyDescent="0.25">
      <c r="B88" s="3">
        <v>46301</v>
      </c>
      <c r="C88" s="4" t="s">
        <v>50</v>
      </c>
      <c r="D88" s="14">
        <v>9295304144</v>
      </c>
      <c r="E88" s="4" t="s">
        <v>2</v>
      </c>
      <c r="F88" s="4" t="s">
        <v>298</v>
      </c>
      <c r="G88" s="8">
        <v>15000</v>
      </c>
      <c r="H88" s="8">
        <v>42766</v>
      </c>
      <c r="I88" s="8">
        <v>50000</v>
      </c>
      <c r="J88" s="9">
        <v>76.599999999999994</v>
      </c>
      <c r="K88" s="3">
        <f t="shared" si="3"/>
        <v>46308</v>
      </c>
      <c r="L88" s="3"/>
      <c r="M88" s="3"/>
      <c r="N88" s="3" t="str">
        <f ca="1">IF(K88="","",IF(TODAY()&gt;K88,"ATRASADO",IF(TODAY()=K88,"VENCE HOJE",IF(K88-TODAY()&lt;=2,"ATENÇÃO","NO PRAZO"))))</f>
        <v>ATRASADO</v>
      </c>
      <c r="O88" s="4" t="s">
        <v>4</v>
      </c>
      <c r="P88" s="4" t="s">
        <v>2</v>
      </c>
      <c r="Q88" s="4" t="s">
        <v>299</v>
      </c>
      <c r="R88" s="4" t="s">
        <v>6</v>
      </c>
      <c r="S88" s="4" t="s">
        <v>7</v>
      </c>
      <c r="T88" s="3">
        <v>46301</v>
      </c>
      <c r="U88" s="4" t="s">
        <v>300</v>
      </c>
      <c r="V88" s="4" t="s">
        <v>301</v>
      </c>
      <c r="W88" s="4" t="s">
        <v>10</v>
      </c>
      <c r="X88" s="4" t="s">
        <v>48</v>
      </c>
      <c r="Y88" s="4" t="s">
        <v>49</v>
      </c>
      <c r="Z88" s="4" t="s">
        <v>13</v>
      </c>
      <c r="AA88" s="4" t="s">
        <v>6</v>
      </c>
    </row>
    <row r="89" spans="2:27" x14ac:dyDescent="0.25">
      <c r="B89" s="3">
        <v>46304</v>
      </c>
      <c r="C89" s="4" t="s">
        <v>0</v>
      </c>
      <c r="D89" s="14">
        <v>2720017388</v>
      </c>
      <c r="E89" s="4" t="s">
        <v>2</v>
      </c>
      <c r="F89" s="4" t="s">
        <v>305</v>
      </c>
      <c r="G89" s="8">
        <v>16800</v>
      </c>
      <c r="H89" s="8">
        <v>43016</v>
      </c>
      <c r="I89" s="8">
        <v>0</v>
      </c>
      <c r="J89" s="9">
        <v>26</v>
      </c>
      <c r="K89" s="3">
        <f t="shared" si="3"/>
        <v>46311</v>
      </c>
      <c r="L89" s="3"/>
      <c r="M89" s="3"/>
      <c r="N89" s="3" t="str">
        <f ca="1">IF(K89="","",IF(TODAY()&gt;K89,"ATRASADO",IF(TODAY()=K89,"VENCE HOJE",IF(K89-TODAY()&lt;=2,"ATENÇÃO","NO PRAZO"))))</f>
        <v>VENCE HOJE</v>
      </c>
      <c r="O89" s="4" t="s">
        <v>4</v>
      </c>
      <c r="P89" s="4" t="s">
        <v>2</v>
      </c>
      <c r="Q89" s="4" t="s">
        <v>306</v>
      </c>
      <c r="R89" s="4" t="s">
        <v>6</v>
      </c>
      <c r="S89" s="4" t="s">
        <v>7</v>
      </c>
      <c r="T89" s="3">
        <v>46304</v>
      </c>
      <c r="U89" s="4" t="s">
        <v>195</v>
      </c>
      <c r="V89" s="4" t="s">
        <v>307</v>
      </c>
      <c r="W89" s="4" t="s">
        <v>10</v>
      </c>
      <c r="X89" s="4" t="s">
        <v>197</v>
      </c>
      <c r="Y89" s="4" t="s">
        <v>12</v>
      </c>
      <c r="Z89" s="4" t="s">
        <v>13</v>
      </c>
      <c r="AA89" s="4" t="s">
        <v>6</v>
      </c>
    </row>
    <row r="90" spans="2:27" x14ac:dyDescent="0.25">
      <c r="B90" s="3">
        <v>46303</v>
      </c>
      <c r="C90" s="4" t="s">
        <v>95</v>
      </c>
      <c r="D90" s="14">
        <v>2730002905</v>
      </c>
      <c r="E90" s="4" t="s">
        <v>2</v>
      </c>
      <c r="F90" s="4" t="s">
        <v>309</v>
      </c>
      <c r="G90" s="8">
        <v>20000</v>
      </c>
      <c r="H90" s="8">
        <v>56847</v>
      </c>
      <c r="I90" s="8">
        <v>40000</v>
      </c>
      <c r="J90" s="9">
        <v>36.299999999999997</v>
      </c>
      <c r="K90" s="3">
        <f t="shared" si="3"/>
        <v>46310</v>
      </c>
      <c r="L90" s="3"/>
      <c r="M90" s="3"/>
      <c r="N90" s="3" t="str">
        <f ca="1">IF(K90="","",IF(TODAY()&gt;K90,"ATRASADO",IF(TODAY()=K90,"VENCE HOJE",IF(K90-TODAY()&lt;=2,"ATENÇÃO","NO PRAZO"))))</f>
        <v>ATRASADO</v>
      </c>
      <c r="O90" s="4" t="s">
        <v>4</v>
      </c>
      <c r="P90" s="4" t="s">
        <v>2</v>
      </c>
      <c r="Q90" s="4" t="s">
        <v>310</v>
      </c>
      <c r="R90" s="4" t="s">
        <v>6</v>
      </c>
      <c r="S90" s="4" t="s">
        <v>7</v>
      </c>
      <c r="T90" s="3">
        <v>46303</v>
      </c>
      <c r="U90" s="4" t="s">
        <v>311</v>
      </c>
      <c r="V90" s="4" t="s">
        <v>312</v>
      </c>
      <c r="W90" s="4" t="s">
        <v>10</v>
      </c>
      <c r="X90" s="4" t="s">
        <v>83</v>
      </c>
      <c r="Y90" s="4" t="s">
        <v>12</v>
      </c>
      <c r="Z90" s="4" t="s">
        <v>13</v>
      </c>
      <c r="AA90" s="4" t="s">
        <v>6</v>
      </c>
    </row>
    <row r="91" spans="2:27" x14ac:dyDescent="0.25">
      <c r="B91" s="3">
        <v>46295</v>
      </c>
      <c r="C91" s="4" t="s">
        <v>95</v>
      </c>
      <c r="D91" s="14">
        <v>2720018291</v>
      </c>
      <c r="E91" s="4" t="s">
        <v>2</v>
      </c>
      <c r="F91" s="4" t="s">
        <v>314</v>
      </c>
      <c r="G91" s="8">
        <v>20000</v>
      </c>
      <c r="H91" s="8">
        <v>58644</v>
      </c>
      <c r="I91" s="8">
        <v>45000</v>
      </c>
      <c r="J91" s="9">
        <v>30.3</v>
      </c>
      <c r="K91" s="3">
        <f t="shared" si="3"/>
        <v>46302</v>
      </c>
      <c r="L91" s="3"/>
      <c r="M91" s="3"/>
      <c r="N91" s="3" t="str">
        <f ca="1">IF(K91="","",IF(TODAY()&gt;K91,"ATRASADO",IF(TODAY()=K91,"VENCE HOJE",IF(K91-TODAY()&lt;=2,"ATENÇÃO","NO PRAZO"))))</f>
        <v>ATRASADO</v>
      </c>
      <c r="O91" s="4" t="s">
        <v>4</v>
      </c>
      <c r="P91" s="4" t="s">
        <v>2</v>
      </c>
      <c r="Q91" s="4" t="s">
        <v>315</v>
      </c>
      <c r="R91" s="4" t="s">
        <v>6</v>
      </c>
      <c r="S91" s="4" t="s">
        <v>7</v>
      </c>
      <c r="T91" s="3">
        <v>46295</v>
      </c>
      <c r="U91" s="4" t="s">
        <v>107</v>
      </c>
      <c r="V91" s="4" t="s">
        <v>316</v>
      </c>
      <c r="W91" s="4" t="s">
        <v>10</v>
      </c>
      <c r="X91" s="4" t="s">
        <v>48</v>
      </c>
      <c r="Y91" s="4" t="s">
        <v>12</v>
      </c>
      <c r="Z91" s="4" t="s">
        <v>13</v>
      </c>
      <c r="AA91" s="4" t="s">
        <v>6</v>
      </c>
    </row>
    <row r="92" spans="2:27" x14ac:dyDescent="0.25">
      <c r="B92" s="3">
        <v>46295</v>
      </c>
      <c r="C92" s="4" t="s">
        <v>95</v>
      </c>
      <c r="D92" s="14">
        <v>2720018291</v>
      </c>
      <c r="E92" s="4" t="s">
        <v>2</v>
      </c>
      <c r="F92" s="4" t="s">
        <v>314</v>
      </c>
      <c r="G92" s="8">
        <v>20000</v>
      </c>
      <c r="H92" s="8">
        <v>58644</v>
      </c>
      <c r="I92" s="8">
        <v>45000</v>
      </c>
      <c r="J92" s="9">
        <v>30.3</v>
      </c>
      <c r="K92" s="3">
        <f t="shared" si="3"/>
        <v>46302</v>
      </c>
      <c r="L92" s="3"/>
      <c r="M92" s="3"/>
      <c r="N92" s="3" t="str">
        <f ca="1">IF(K92="","",IF(TODAY()&gt;K92,"ATRASADO",IF(TODAY()=K92,"VENCE HOJE",IF(K92-TODAY()&lt;=2,"ATENÇÃO","NO PRAZO"))))</f>
        <v>ATRASADO</v>
      </c>
      <c r="O92" s="4" t="s">
        <v>4</v>
      </c>
      <c r="P92" s="4" t="s">
        <v>2</v>
      </c>
      <c r="Q92" s="4" t="s">
        <v>317</v>
      </c>
      <c r="R92" s="4" t="s">
        <v>6</v>
      </c>
      <c r="S92" s="4" t="s">
        <v>7</v>
      </c>
      <c r="T92" s="3">
        <v>46295</v>
      </c>
      <c r="U92" s="4" t="s">
        <v>107</v>
      </c>
      <c r="V92" s="4" t="s">
        <v>318</v>
      </c>
      <c r="W92" s="4" t="s">
        <v>10</v>
      </c>
      <c r="X92" s="4" t="s">
        <v>48</v>
      </c>
      <c r="Y92" s="4" t="s">
        <v>12</v>
      </c>
      <c r="Z92" s="4" t="s">
        <v>13</v>
      </c>
      <c r="AA92" s="4" t="s">
        <v>6</v>
      </c>
    </row>
    <row r="93" spans="2:27" x14ac:dyDescent="0.25">
      <c r="B93" s="3">
        <v>46303</v>
      </c>
      <c r="C93" s="4" t="s">
        <v>50</v>
      </c>
      <c r="D93" s="14">
        <v>9211551035</v>
      </c>
      <c r="E93" s="4" t="s">
        <v>2</v>
      </c>
      <c r="F93" s="4" t="s">
        <v>320</v>
      </c>
      <c r="G93" s="8">
        <v>12000</v>
      </c>
      <c r="H93" s="8">
        <v>60641</v>
      </c>
      <c r="I93" s="8">
        <v>60000</v>
      </c>
      <c r="J93" s="9">
        <v>85.1</v>
      </c>
      <c r="K93" s="3">
        <f t="shared" si="3"/>
        <v>46310</v>
      </c>
      <c r="L93" s="3"/>
      <c r="M93" s="3"/>
      <c r="N93" s="3" t="str">
        <f ca="1">IF(K93="","",IF(TODAY()&gt;K93,"ATRASADO",IF(TODAY()=K93,"VENCE HOJE",IF(K93-TODAY()&lt;=2,"ATENÇÃO","NO PRAZO"))))</f>
        <v>ATRASADO</v>
      </c>
      <c r="O93" s="4" t="s">
        <v>4</v>
      </c>
      <c r="P93" s="4" t="s">
        <v>2</v>
      </c>
      <c r="Q93" s="4" t="s">
        <v>323</v>
      </c>
      <c r="R93" s="4" t="s">
        <v>6</v>
      </c>
      <c r="S93" s="4" t="s">
        <v>7</v>
      </c>
      <c r="T93" s="3">
        <v>46303</v>
      </c>
      <c r="U93" s="4" t="s">
        <v>158</v>
      </c>
      <c r="V93" s="4" t="s">
        <v>324</v>
      </c>
      <c r="W93" s="4" t="s">
        <v>10</v>
      </c>
      <c r="X93" s="4" t="s">
        <v>48</v>
      </c>
      <c r="Y93" s="4" t="s">
        <v>49</v>
      </c>
      <c r="Z93" s="4" t="s">
        <v>13</v>
      </c>
      <c r="AA93" s="4" t="s">
        <v>6</v>
      </c>
    </row>
    <row r="94" spans="2:27" x14ac:dyDescent="0.25">
      <c r="B94" s="3">
        <v>46295</v>
      </c>
      <c r="C94" s="4" t="s">
        <v>95</v>
      </c>
      <c r="D94" s="14">
        <v>2720017850</v>
      </c>
      <c r="E94" s="4" t="s">
        <v>2</v>
      </c>
      <c r="F94" s="4" t="s">
        <v>326</v>
      </c>
      <c r="G94" s="8">
        <v>21000</v>
      </c>
      <c r="H94" s="8">
        <v>65125</v>
      </c>
      <c r="I94" s="8">
        <v>60000</v>
      </c>
      <c r="J94" s="9">
        <v>18.5</v>
      </c>
      <c r="K94" s="3">
        <f t="shared" ref="K94:K100" si="4">B94+7</f>
        <v>46302</v>
      </c>
      <c r="L94" s="3"/>
      <c r="M94" s="3"/>
      <c r="N94" s="3" t="str">
        <f ca="1">IF(K94="","",IF(TODAY()&gt;K94,"ATRASADO",IF(TODAY()=K94,"VENCE HOJE",IF(K94-TODAY()&lt;=2,"ATENÇÃO","NO PRAZO"))))</f>
        <v>ATRASADO</v>
      </c>
      <c r="O94" s="4" t="s">
        <v>4</v>
      </c>
      <c r="P94" s="4" t="s">
        <v>2</v>
      </c>
      <c r="Q94" s="4" t="s">
        <v>327</v>
      </c>
      <c r="R94" s="4" t="s">
        <v>6</v>
      </c>
      <c r="S94" s="4" t="s">
        <v>7</v>
      </c>
      <c r="T94" s="3">
        <v>46295</v>
      </c>
      <c r="U94" s="4" t="s">
        <v>328</v>
      </c>
      <c r="V94" s="4" t="s">
        <v>329</v>
      </c>
      <c r="W94" s="4" t="s">
        <v>10</v>
      </c>
      <c r="X94" s="4" t="s">
        <v>48</v>
      </c>
      <c r="Y94" s="4" t="s">
        <v>12</v>
      </c>
      <c r="Z94" s="4" t="s">
        <v>13</v>
      </c>
      <c r="AA94" s="4" t="s">
        <v>6</v>
      </c>
    </row>
    <row r="95" spans="2:27" x14ac:dyDescent="0.25">
      <c r="B95" s="3">
        <v>46302</v>
      </c>
      <c r="C95" s="4" t="s">
        <v>0</v>
      </c>
      <c r="D95" s="14">
        <v>2720019377</v>
      </c>
      <c r="E95" s="4" t="s">
        <v>2</v>
      </c>
      <c r="F95" s="4" t="s">
        <v>331</v>
      </c>
      <c r="G95" s="8">
        <v>10000</v>
      </c>
      <c r="H95" s="8">
        <v>69558</v>
      </c>
      <c r="I95" s="8">
        <v>40000</v>
      </c>
      <c r="J95" s="9">
        <v>65</v>
      </c>
      <c r="K95" s="3">
        <f t="shared" si="4"/>
        <v>46309</v>
      </c>
      <c r="L95" s="3"/>
      <c r="M95" s="3"/>
      <c r="N95" s="3" t="str">
        <f ca="1">IF(K95="","",IF(TODAY()&gt;K95,"ATRASADO",IF(TODAY()=K95,"VENCE HOJE",IF(K95-TODAY()&lt;=2,"ATENÇÃO","NO PRAZO"))))</f>
        <v>ATRASADO</v>
      </c>
      <c r="O95" s="4" t="s">
        <v>4</v>
      </c>
      <c r="P95" s="4" t="s">
        <v>2</v>
      </c>
      <c r="Q95" s="4" t="s">
        <v>332</v>
      </c>
      <c r="R95" s="4" t="s">
        <v>6</v>
      </c>
      <c r="S95" s="4" t="s">
        <v>7</v>
      </c>
      <c r="T95" s="3">
        <v>46302</v>
      </c>
      <c r="U95" s="4" t="s">
        <v>76</v>
      </c>
      <c r="V95" s="4" t="s">
        <v>333</v>
      </c>
      <c r="W95" s="4" t="s">
        <v>10</v>
      </c>
      <c r="X95" s="4" t="s">
        <v>11</v>
      </c>
      <c r="Y95" s="4" t="s">
        <v>12</v>
      </c>
      <c r="Z95" s="4" t="s">
        <v>13</v>
      </c>
      <c r="AA95" s="4" t="s">
        <v>6</v>
      </c>
    </row>
    <row r="96" spans="2:27" x14ac:dyDescent="0.25">
      <c r="B96" s="3">
        <v>46309</v>
      </c>
      <c r="C96" s="4" t="s">
        <v>0</v>
      </c>
      <c r="D96" s="14">
        <v>2720019377</v>
      </c>
      <c r="E96" s="4" t="s">
        <v>2</v>
      </c>
      <c r="F96" s="4" t="s">
        <v>331</v>
      </c>
      <c r="G96" s="8">
        <v>11000</v>
      </c>
      <c r="H96" s="8">
        <v>69558</v>
      </c>
      <c r="I96" s="8">
        <v>40000</v>
      </c>
      <c r="J96" s="9">
        <v>65</v>
      </c>
      <c r="K96" s="3">
        <f t="shared" si="4"/>
        <v>46316</v>
      </c>
      <c r="L96" s="3"/>
      <c r="M96" s="3"/>
      <c r="N96" s="3" t="str">
        <f ca="1">IF(K96="","",IF(TODAY()&gt;K96,"ATRASADO",IF(TODAY()=K96,"VENCE HOJE",IF(K96-TODAY()&lt;=2,"ATENÇÃO","NO PRAZO"))))</f>
        <v>NO PRAZO</v>
      </c>
      <c r="O96" s="4" t="s">
        <v>4</v>
      </c>
      <c r="P96" s="4" t="s">
        <v>2</v>
      </c>
      <c r="Q96" s="4" t="s">
        <v>334</v>
      </c>
      <c r="R96" s="4" t="s">
        <v>6</v>
      </c>
      <c r="S96" s="4" t="s">
        <v>7</v>
      </c>
      <c r="T96" s="3">
        <v>46309</v>
      </c>
      <c r="U96" s="4" t="s">
        <v>76</v>
      </c>
      <c r="V96" s="4" t="s">
        <v>335</v>
      </c>
      <c r="W96" s="4" t="s">
        <v>10</v>
      </c>
      <c r="X96" s="4" t="s">
        <v>11</v>
      </c>
      <c r="Y96" s="4" t="s">
        <v>12</v>
      </c>
      <c r="Z96" s="4" t="s">
        <v>13</v>
      </c>
      <c r="AA96" s="4" t="s">
        <v>6</v>
      </c>
    </row>
    <row r="97" spans="2:27" x14ac:dyDescent="0.25">
      <c r="B97" s="3">
        <v>46295</v>
      </c>
      <c r="C97" s="4" t="s">
        <v>50</v>
      </c>
      <c r="D97" s="14">
        <v>2705376100</v>
      </c>
      <c r="E97" s="4" t="s">
        <v>2</v>
      </c>
      <c r="F97" s="4" t="s">
        <v>337</v>
      </c>
      <c r="G97" s="8">
        <v>1000</v>
      </c>
      <c r="H97" s="8">
        <v>110688</v>
      </c>
      <c r="I97" s="8">
        <v>100000</v>
      </c>
      <c r="J97" s="9">
        <v>30</v>
      </c>
      <c r="K97" s="3">
        <f t="shared" si="4"/>
        <v>46302</v>
      </c>
      <c r="L97" s="3"/>
      <c r="M97" s="3"/>
      <c r="N97" s="3" t="str">
        <f ca="1">IF(K97="","",IF(TODAY()&gt;K97,"ATRASADO",IF(TODAY()=K97,"VENCE HOJE",IF(K97-TODAY()&lt;=2,"ATENÇÃO","NO PRAZO"))))</f>
        <v>ATRASADO</v>
      </c>
      <c r="O97" s="4" t="s">
        <v>4</v>
      </c>
      <c r="P97" s="4" t="s">
        <v>2</v>
      </c>
      <c r="Q97" s="4" t="s">
        <v>338</v>
      </c>
      <c r="R97" s="4" t="s">
        <v>6</v>
      </c>
      <c r="S97" s="4" t="s">
        <v>7</v>
      </c>
      <c r="T97" s="3">
        <v>46295</v>
      </c>
      <c r="U97" s="4" t="s">
        <v>46</v>
      </c>
      <c r="V97" s="4" t="s">
        <v>339</v>
      </c>
      <c r="W97" s="4" t="s">
        <v>10</v>
      </c>
      <c r="X97" s="4" t="s">
        <v>48</v>
      </c>
      <c r="Y97" s="4" t="s">
        <v>12</v>
      </c>
      <c r="Z97" s="4" t="s">
        <v>13</v>
      </c>
      <c r="AA97" s="4" t="s">
        <v>6</v>
      </c>
    </row>
    <row r="98" spans="2:27" x14ac:dyDescent="0.25">
      <c r="B98" s="3">
        <v>46300</v>
      </c>
      <c r="C98" s="4" t="s">
        <v>42</v>
      </c>
      <c r="D98" s="14">
        <v>2720002663</v>
      </c>
      <c r="E98" s="4" t="s">
        <v>2</v>
      </c>
      <c r="F98" s="4" t="s">
        <v>341</v>
      </c>
      <c r="G98" s="8">
        <v>26000</v>
      </c>
      <c r="H98" s="8">
        <v>161124</v>
      </c>
      <c r="I98" s="8">
        <v>200000</v>
      </c>
      <c r="J98" s="9">
        <v>26</v>
      </c>
      <c r="K98" s="3">
        <f t="shared" si="4"/>
        <v>46307</v>
      </c>
      <c r="L98" s="3"/>
      <c r="M98" s="3"/>
      <c r="N98" s="3" t="str">
        <f ca="1">IF(K98="","",IF(TODAY()&gt;K98,"ATRASADO",IF(TODAY()=K98,"VENCE HOJE",IF(K98-TODAY()&lt;=2,"ATENÇÃO","NO PRAZO"))))</f>
        <v>ATRASADO</v>
      </c>
      <c r="O98" s="4" t="s">
        <v>4</v>
      </c>
      <c r="P98" s="4" t="s">
        <v>2</v>
      </c>
      <c r="Q98" s="4" t="s">
        <v>347</v>
      </c>
      <c r="R98" s="4" t="s">
        <v>6</v>
      </c>
      <c r="S98" s="4" t="s">
        <v>7</v>
      </c>
      <c r="T98" s="3">
        <v>46300</v>
      </c>
      <c r="U98" s="4" t="s">
        <v>343</v>
      </c>
      <c r="V98" s="4" t="s">
        <v>348</v>
      </c>
      <c r="W98" s="4" t="s">
        <v>10</v>
      </c>
      <c r="X98" s="4" t="s">
        <v>48</v>
      </c>
      <c r="Y98" s="4" t="s">
        <v>12</v>
      </c>
      <c r="Z98" s="4" t="s">
        <v>13</v>
      </c>
      <c r="AA98" s="4" t="s">
        <v>6</v>
      </c>
    </row>
    <row r="99" spans="2:27" x14ac:dyDescent="0.25">
      <c r="B99" s="3">
        <v>46300</v>
      </c>
      <c r="C99" s="4" t="s">
        <v>42</v>
      </c>
      <c r="D99" s="14">
        <v>2720002663</v>
      </c>
      <c r="E99" s="4" t="s">
        <v>2</v>
      </c>
      <c r="F99" s="4" t="s">
        <v>341</v>
      </c>
      <c r="G99" s="8">
        <v>26000</v>
      </c>
      <c r="H99" s="8">
        <v>161124</v>
      </c>
      <c r="I99" s="8">
        <v>200000</v>
      </c>
      <c r="J99" s="9">
        <v>26</v>
      </c>
      <c r="K99" s="3">
        <f t="shared" si="4"/>
        <v>46307</v>
      </c>
      <c r="L99" s="3"/>
      <c r="M99" s="3"/>
      <c r="N99" s="3" t="str">
        <f ca="1">IF(K99="","",IF(TODAY()&gt;K99,"ATRASADO",IF(TODAY()=K99,"VENCE HOJE",IF(K99-TODAY()&lt;=2,"ATENÇÃO","NO PRAZO"))))</f>
        <v>ATRASADO</v>
      </c>
      <c r="O99" s="4" t="s">
        <v>4</v>
      </c>
      <c r="P99" s="4" t="s">
        <v>2</v>
      </c>
      <c r="Q99" s="4" t="s">
        <v>349</v>
      </c>
      <c r="R99" s="4" t="s">
        <v>6</v>
      </c>
      <c r="S99" s="4" t="s">
        <v>7</v>
      </c>
      <c r="T99" s="3">
        <v>46300</v>
      </c>
      <c r="U99" s="4" t="s">
        <v>343</v>
      </c>
      <c r="V99" s="4" t="s">
        <v>350</v>
      </c>
      <c r="W99" s="4" t="s">
        <v>10</v>
      </c>
      <c r="X99" s="4" t="s">
        <v>48</v>
      </c>
      <c r="Y99" s="4" t="s">
        <v>12</v>
      </c>
      <c r="Z99" s="4" t="s">
        <v>13</v>
      </c>
      <c r="AA99" s="4" t="s">
        <v>6</v>
      </c>
    </row>
    <row r="100" spans="2:27" x14ac:dyDescent="0.25">
      <c r="B100" s="3">
        <v>46304</v>
      </c>
      <c r="C100" s="4" t="s">
        <v>42</v>
      </c>
      <c r="D100" s="14">
        <v>2720002663</v>
      </c>
      <c r="E100" s="4" t="s">
        <v>2</v>
      </c>
      <c r="F100" s="4" t="s">
        <v>341</v>
      </c>
      <c r="G100" s="8">
        <v>90000</v>
      </c>
      <c r="H100" s="8">
        <v>161124</v>
      </c>
      <c r="I100" s="8">
        <v>200000</v>
      </c>
      <c r="J100" s="9">
        <v>26</v>
      </c>
      <c r="K100" s="3">
        <f t="shared" si="4"/>
        <v>46311</v>
      </c>
      <c r="L100" s="3"/>
      <c r="M100" s="3"/>
      <c r="N100" s="3" t="str">
        <f ca="1">IF(K100="","",IF(TODAY()&gt;K100,"ATRASADO",IF(TODAY()=K100,"VENCE HOJE",IF(K100-TODAY()&lt;=2,"ATENÇÃO","NO PRAZO"))))</f>
        <v>VENCE HOJE</v>
      </c>
      <c r="O100" s="4" t="s">
        <v>4</v>
      </c>
      <c r="P100" s="4" t="s">
        <v>2</v>
      </c>
      <c r="Q100" s="4" t="s">
        <v>345</v>
      </c>
      <c r="R100" s="4" t="s">
        <v>6</v>
      </c>
      <c r="S100" s="4" t="s">
        <v>7</v>
      </c>
      <c r="T100" s="3">
        <v>46304</v>
      </c>
      <c r="U100" s="4" t="s">
        <v>343</v>
      </c>
      <c r="V100" s="4" t="s">
        <v>346</v>
      </c>
      <c r="W100" s="4" t="s">
        <v>10</v>
      </c>
      <c r="X100" s="4" t="s">
        <v>48</v>
      </c>
      <c r="Y100" s="4" t="s">
        <v>12</v>
      </c>
      <c r="Z100" s="4" t="s">
        <v>13</v>
      </c>
      <c r="AA100" s="4" t="s">
        <v>6</v>
      </c>
    </row>
  </sheetData>
  <autoFilter ref="B1:AA100" xr:uid="{00000000-0001-0000-0000-000000000000}">
    <sortState xmlns:xlrd2="http://schemas.microsoft.com/office/spreadsheetml/2017/richdata2" ref="B2:AA100">
      <sortCondition ref="H1:H100"/>
    </sortState>
  </autoFilter>
  <phoneticPr fontId="0" type="noConversion"/>
  <conditionalFormatting sqref="N1:N1048576">
    <cfRule type="containsText" dxfId="3" priority="2" operator="containsText" text="ATENÇÃO">
      <formula>NOT(ISERROR(SEARCH("ATENÇÃO",N1)))</formula>
    </cfRule>
    <cfRule type="containsText" dxfId="2" priority="3" operator="containsText" text="ATRASADO">
      <formula>NOT(ISERROR(SEARCH("ATRASADO",N1)))</formula>
    </cfRule>
    <cfRule type="containsText" dxfId="1" priority="4" operator="containsText" text="VENCE HOJE">
      <formula>NOT(ISERROR(SEARCH("VENCE HOJE",N1)))</formula>
    </cfRule>
    <cfRule type="containsText" dxfId="0" priority="6" operator="containsText" text="NO PRAZO">
      <formula>NOT(ISERROR(SEARCH("NO PRAZO",N1)))</formula>
    </cfRule>
  </conditionalFormatting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6D9E-F816-41EA-A9B9-72DCE7930447}">
  <dimension ref="C1:P107"/>
  <sheetViews>
    <sheetView workbookViewId="0">
      <selection activeCell="C1" sqref="C1"/>
    </sheetView>
  </sheetViews>
  <sheetFormatPr defaultRowHeight="13.2" x14ac:dyDescent="0.25"/>
  <cols>
    <col min="1" max="1" width="3.77734375" customWidth="1"/>
    <col min="2" max="2" width="4.77734375" customWidth="1"/>
    <col min="3" max="3" width="20" style="4" bestFit="1" customWidth="1"/>
    <col min="4" max="4" width="14" style="4" bestFit="1" customWidth="1"/>
    <col min="5" max="5" width="12" style="4" bestFit="1" customWidth="1"/>
    <col min="6" max="6" width="42" style="4" bestFit="1" customWidth="1"/>
    <col min="7" max="7" width="21" style="4" bestFit="1" customWidth="1"/>
    <col min="8" max="8" width="12" style="4" bestFit="1" customWidth="1"/>
    <col min="9" max="9" width="18" style="4" bestFit="1" customWidth="1"/>
    <col min="10" max="10" width="12" style="4" bestFit="1" customWidth="1"/>
    <col min="11" max="11" width="14" style="4" bestFit="1" customWidth="1"/>
    <col min="12" max="12" width="19" style="4" bestFit="1" customWidth="1"/>
    <col min="13" max="13" width="12" style="4" bestFit="1" customWidth="1"/>
    <col min="14" max="14" width="15" style="4" bestFit="1" customWidth="1"/>
    <col min="15" max="15" width="13" style="4" bestFit="1" customWidth="1"/>
    <col min="16" max="16" width="14" style="4" bestFit="1" customWidth="1"/>
  </cols>
  <sheetData>
    <row r="1" spans="3:16" ht="26.4" x14ac:dyDescent="0.25">
      <c r="C1" s="1" t="s">
        <v>355</v>
      </c>
      <c r="D1" s="2" t="s">
        <v>376</v>
      </c>
      <c r="E1" s="1" t="s">
        <v>357</v>
      </c>
      <c r="F1" s="1" t="s">
        <v>377</v>
      </c>
      <c r="G1" s="1" t="s">
        <v>367</v>
      </c>
      <c r="H1" s="1" t="s">
        <v>369</v>
      </c>
      <c r="I1" s="1" t="s">
        <v>366</v>
      </c>
      <c r="J1" s="2" t="s">
        <v>378</v>
      </c>
      <c r="K1" s="1" t="s">
        <v>379</v>
      </c>
      <c r="L1" s="1" t="s">
        <v>360</v>
      </c>
      <c r="M1" s="2" t="s">
        <v>370</v>
      </c>
      <c r="N1" s="1" t="s">
        <v>380</v>
      </c>
      <c r="O1" s="1" t="s">
        <v>381</v>
      </c>
      <c r="P1" s="1" t="s">
        <v>382</v>
      </c>
    </row>
    <row r="2" spans="3:16" x14ac:dyDescent="0.25">
      <c r="C2" s="3">
        <v>46245</v>
      </c>
      <c r="D2" s="4" t="s">
        <v>383</v>
      </c>
      <c r="E2" s="4" t="s">
        <v>51</v>
      </c>
      <c r="F2" s="4" t="s">
        <v>52</v>
      </c>
      <c r="G2" s="4" t="s">
        <v>54</v>
      </c>
      <c r="H2" s="4" t="s">
        <v>46</v>
      </c>
      <c r="I2" s="4" t="s">
        <v>53</v>
      </c>
      <c r="J2" s="4" t="s">
        <v>384</v>
      </c>
      <c r="K2" s="4" t="s">
        <v>385</v>
      </c>
      <c r="L2" s="5">
        <v>22113</v>
      </c>
      <c r="M2" s="4" t="s">
        <v>55</v>
      </c>
      <c r="N2" s="6">
        <v>0.60496527777777998</v>
      </c>
      <c r="O2" s="4" t="s">
        <v>386</v>
      </c>
      <c r="P2" s="3"/>
    </row>
    <row r="3" spans="3:16" x14ac:dyDescent="0.25">
      <c r="C3" s="3">
        <v>46253</v>
      </c>
      <c r="D3" s="4" t="s">
        <v>383</v>
      </c>
      <c r="E3" s="4" t="s">
        <v>43</v>
      </c>
      <c r="F3" s="4" t="s">
        <v>44</v>
      </c>
      <c r="G3" s="4" t="s">
        <v>7</v>
      </c>
      <c r="H3" s="4" t="s">
        <v>46</v>
      </c>
      <c r="I3" s="4" t="s">
        <v>45</v>
      </c>
      <c r="J3" s="4" t="s">
        <v>384</v>
      </c>
      <c r="K3" s="4" t="s">
        <v>387</v>
      </c>
      <c r="L3" s="5">
        <v>21504</v>
      </c>
      <c r="M3" s="4" t="s">
        <v>47</v>
      </c>
      <c r="N3" s="6">
        <v>0.6269212962963</v>
      </c>
      <c r="O3" s="4" t="s">
        <v>386</v>
      </c>
      <c r="P3" s="3"/>
    </row>
    <row r="4" spans="3:16" x14ac:dyDescent="0.25">
      <c r="C4" s="3">
        <v>46267</v>
      </c>
      <c r="D4" s="4" t="s">
        <v>383</v>
      </c>
      <c r="E4" s="4" t="s">
        <v>166</v>
      </c>
      <c r="F4" s="4" t="s">
        <v>167</v>
      </c>
      <c r="G4" s="4" t="s">
        <v>169</v>
      </c>
      <c r="H4" s="4" t="s">
        <v>8</v>
      </c>
      <c r="I4" s="4" t="s">
        <v>168</v>
      </c>
      <c r="J4" s="4" t="s">
        <v>384</v>
      </c>
      <c r="K4" s="4" t="s">
        <v>388</v>
      </c>
      <c r="L4" s="5">
        <v>1125</v>
      </c>
      <c r="M4" s="4" t="s">
        <v>170</v>
      </c>
      <c r="N4" s="6">
        <v>0.65271990740741004</v>
      </c>
      <c r="O4" s="4" t="s">
        <v>386</v>
      </c>
      <c r="P4" s="3"/>
    </row>
    <row r="5" spans="3:16" x14ac:dyDescent="0.25">
      <c r="C5" s="3">
        <v>46280</v>
      </c>
      <c r="D5" s="4" t="s">
        <v>389</v>
      </c>
      <c r="E5" s="4" t="s">
        <v>64</v>
      </c>
      <c r="F5" s="4" t="s">
        <v>65</v>
      </c>
      <c r="G5" s="4" t="s">
        <v>7</v>
      </c>
      <c r="H5" s="4" t="s">
        <v>67</v>
      </c>
      <c r="I5" s="4" t="s">
        <v>66</v>
      </c>
      <c r="J5" s="4" t="s">
        <v>384</v>
      </c>
      <c r="K5" s="4" t="s">
        <v>390</v>
      </c>
      <c r="L5" s="5">
        <v>25</v>
      </c>
      <c r="M5" s="4" t="s">
        <v>68</v>
      </c>
      <c r="N5" s="6">
        <v>0.42593750000000002</v>
      </c>
      <c r="O5" s="4" t="s">
        <v>386</v>
      </c>
      <c r="P5" s="3"/>
    </row>
    <row r="6" spans="3:16" x14ac:dyDescent="0.25">
      <c r="C6" s="3">
        <v>46280</v>
      </c>
      <c r="D6" s="4" t="s">
        <v>383</v>
      </c>
      <c r="E6" s="4" t="s">
        <v>297</v>
      </c>
      <c r="F6" s="4" t="s">
        <v>298</v>
      </c>
      <c r="G6" s="4" t="s">
        <v>7</v>
      </c>
      <c r="H6" s="4" t="s">
        <v>300</v>
      </c>
      <c r="I6" s="4" t="s">
        <v>302</v>
      </c>
      <c r="J6" s="4" t="s">
        <v>391</v>
      </c>
      <c r="K6" s="4" t="s">
        <v>392</v>
      </c>
      <c r="L6" s="5">
        <v>15000</v>
      </c>
      <c r="M6" s="4" t="s">
        <v>303</v>
      </c>
      <c r="N6" s="6">
        <v>0.46410879629629997</v>
      </c>
      <c r="O6" s="4" t="s">
        <v>386</v>
      </c>
      <c r="P6" s="3"/>
    </row>
    <row r="7" spans="3:16" x14ac:dyDescent="0.25">
      <c r="C7" s="3">
        <v>46286</v>
      </c>
      <c r="D7" s="4" t="s">
        <v>383</v>
      </c>
      <c r="E7" s="4" t="s">
        <v>319</v>
      </c>
      <c r="F7" s="4" t="s">
        <v>320</v>
      </c>
      <c r="G7" s="4" t="s">
        <v>7</v>
      </c>
      <c r="H7" s="4" t="s">
        <v>158</v>
      </c>
      <c r="I7" s="4" t="s">
        <v>321</v>
      </c>
      <c r="J7" s="4" t="s">
        <v>391</v>
      </c>
      <c r="K7" s="4" t="s">
        <v>393</v>
      </c>
      <c r="L7" s="5">
        <v>12000</v>
      </c>
      <c r="M7" s="4" t="s">
        <v>322</v>
      </c>
      <c r="N7" s="6">
        <v>0.40685185185185002</v>
      </c>
      <c r="O7" s="4" t="s">
        <v>386</v>
      </c>
      <c r="P7" s="3"/>
    </row>
    <row r="8" spans="3:16" x14ac:dyDescent="0.25">
      <c r="C8" s="3">
        <v>46286</v>
      </c>
      <c r="D8" s="4" t="s">
        <v>383</v>
      </c>
      <c r="E8" s="4" t="s">
        <v>155</v>
      </c>
      <c r="F8" s="4" t="s">
        <v>156</v>
      </c>
      <c r="G8" s="4" t="s">
        <v>7</v>
      </c>
      <c r="H8" s="4" t="s">
        <v>158</v>
      </c>
      <c r="I8" s="4" t="s">
        <v>157</v>
      </c>
      <c r="J8" s="4" t="s">
        <v>391</v>
      </c>
      <c r="K8" s="4" t="s">
        <v>393</v>
      </c>
      <c r="L8" s="5">
        <v>2100</v>
      </c>
      <c r="M8" s="4" t="s">
        <v>159</v>
      </c>
      <c r="N8" s="6">
        <v>0.40685185185185002</v>
      </c>
      <c r="O8" s="4" t="s">
        <v>386</v>
      </c>
      <c r="P8" s="3"/>
    </row>
    <row r="9" spans="3:16" x14ac:dyDescent="0.25">
      <c r="C9" s="3">
        <v>46288</v>
      </c>
      <c r="D9" s="4" t="s">
        <v>383</v>
      </c>
      <c r="E9" s="4" t="s">
        <v>340</v>
      </c>
      <c r="F9" s="4" t="s">
        <v>341</v>
      </c>
      <c r="G9" s="4" t="s">
        <v>7</v>
      </c>
      <c r="H9" s="4" t="s">
        <v>343</v>
      </c>
      <c r="I9" s="4" t="s">
        <v>342</v>
      </c>
      <c r="J9" s="4" t="s">
        <v>391</v>
      </c>
      <c r="K9" s="4" t="s">
        <v>394</v>
      </c>
      <c r="L9" s="5">
        <v>66000</v>
      </c>
      <c r="M9" s="4" t="s">
        <v>344</v>
      </c>
      <c r="N9" s="6">
        <v>0.36333333333333001</v>
      </c>
      <c r="O9" s="4" t="s">
        <v>386</v>
      </c>
      <c r="P9" s="3"/>
    </row>
    <row r="10" spans="3:16" x14ac:dyDescent="0.25">
      <c r="C10" s="3">
        <v>46288</v>
      </c>
      <c r="D10" s="4" t="s">
        <v>383</v>
      </c>
      <c r="E10" s="4" t="s">
        <v>155</v>
      </c>
      <c r="F10" s="4" t="s">
        <v>156</v>
      </c>
      <c r="G10" s="4" t="s">
        <v>7</v>
      </c>
      <c r="H10" s="4" t="s">
        <v>158</v>
      </c>
      <c r="I10" s="4" t="s">
        <v>161</v>
      </c>
      <c r="J10" s="4" t="s">
        <v>391</v>
      </c>
      <c r="K10" s="4" t="s">
        <v>395</v>
      </c>
      <c r="L10" s="5">
        <v>1400</v>
      </c>
      <c r="M10" s="4" t="s">
        <v>159</v>
      </c>
      <c r="N10" s="6">
        <v>0.36084490740740999</v>
      </c>
      <c r="O10" s="4" t="s">
        <v>386</v>
      </c>
      <c r="P10" s="3"/>
    </row>
    <row r="11" spans="3:16" x14ac:dyDescent="0.25">
      <c r="C11" s="3">
        <v>46288</v>
      </c>
      <c r="D11" s="4" t="s">
        <v>383</v>
      </c>
      <c r="E11" s="4" t="s">
        <v>155</v>
      </c>
      <c r="F11" s="4" t="s">
        <v>156</v>
      </c>
      <c r="G11" s="4" t="s">
        <v>7</v>
      </c>
      <c r="H11" s="4" t="s">
        <v>158</v>
      </c>
      <c r="I11" s="4" t="s">
        <v>160</v>
      </c>
      <c r="J11" s="4" t="s">
        <v>391</v>
      </c>
      <c r="K11" s="4" t="s">
        <v>396</v>
      </c>
      <c r="L11" s="5">
        <v>1400</v>
      </c>
      <c r="M11" s="4" t="s">
        <v>159</v>
      </c>
      <c r="N11" s="6">
        <v>0.36130787037036999</v>
      </c>
      <c r="O11" s="4" t="s">
        <v>386</v>
      </c>
      <c r="P11" s="3"/>
    </row>
    <row r="12" spans="3:16" x14ac:dyDescent="0.25">
      <c r="C12" s="3">
        <v>46294</v>
      </c>
      <c r="D12" s="4" t="s">
        <v>383</v>
      </c>
      <c r="E12" s="4" t="s">
        <v>340</v>
      </c>
      <c r="F12" s="4" t="s">
        <v>341</v>
      </c>
      <c r="G12" s="4" t="s">
        <v>7</v>
      </c>
      <c r="H12" s="4" t="s">
        <v>343</v>
      </c>
      <c r="I12" s="4" t="s">
        <v>353</v>
      </c>
      <c r="J12" s="4" t="s">
        <v>391</v>
      </c>
      <c r="K12" s="4" t="s">
        <v>397</v>
      </c>
      <c r="L12" s="5">
        <v>26000</v>
      </c>
      <c r="M12" s="4" t="s">
        <v>354</v>
      </c>
      <c r="N12" s="6">
        <v>0.63509259259258999</v>
      </c>
      <c r="O12" s="4" t="s">
        <v>386</v>
      </c>
      <c r="P12" s="3"/>
    </row>
    <row r="13" spans="3:16" x14ac:dyDescent="0.25">
      <c r="C13" s="3">
        <v>46294</v>
      </c>
      <c r="D13" s="4" t="s">
        <v>383</v>
      </c>
      <c r="E13" s="4" t="s">
        <v>155</v>
      </c>
      <c r="F13" s="4" t="s">
        <v>156</v>
      </c>
      <c r="G13" s="4" t="s">
        <v>7</v>
      </c>
      <c r="H13" s="4" t="s">
        <v>158</v>
      </c>
      <c r="I13" s="4" t="s">
        <v>164</v>
      </c>
      <c r="J13" s="4" t="s">
        <v>391</v>
      </c>
      <c r="K13" s="4" t="s">
        <v>398</v>
      </c>
      <c r="L13" s="5">
        <v>2800</v>
      </c>
      <c r="M13" s="4" t="s">
        <v>159</v>
      </c>
      <c r="N13" s="6">
        <v>0.58011574074074002</v>
      </c>
      <c r="O13" s="4" t="s">
        <v>386</v>
      </c>
      <c r="P13" s="3"/>
    </row>
    <row r="14" spans="3:16" x14ac:dyDescent="0.25">
      <c r="C14" s="3">
        <v>46295</v>
      </c>
      <c r="D14" s="4" t="s">
        <v>383</v>
      </c>
      <c r="E14" s="4" t="s">
        <v>336</v>
      </c>
      <c r="F14" s="4" t="s">
        <v>337</v>
      </c>
      <c r="G14" s="4" t="s">
        <v>7</v>
      </c>
      <c r="H14" s="4" t="s">
        <v>46</v>
      </c>
      <c r="I14" s="4" t="s">
        <v>338</v>
      </c>
      <c r="J14" s="4" t="s">
        <v>384</v>
      </c>
      <c r="K14" s="4" t="s">
        <v>399</v>
      </c>
      <c r="L14" s="5">
        <v>1000</v>
      </c>
      <c r="M14" s="4" t="s">
        <v>339</v>
      </c>
      <c r="N14" s="6">
        <v>0.41171296296296001</v>
      </c>
      <c r="O14" s="4" t="s">
        <v>386</v>
      </c>
      <c r="P14" s="3"/>
    </row>
    <row r="15" spans="3:16" x14ac:dyDescent="0.25">
      <c r="C15" s="3">
        <v>46295</v>
      </c>
      <c r="D15" s="4" t="s">
        <v>383</v>
      </c>
      <c r="E15" s="4" t="s">
        <v>325</v>
      </c>
      <c r="F15" s="4" t="s">
        <v>326</v>
      </c>
      <c r="G15" s="4" t="s">
        <v>7</v>
      </c>
      <c r="H15" s="4" t="s">
        <v>328</v>
      </c>
      <c r="I15" s="4" t="s">
        <v>327</v>
      </c>
      <c r="J15" s="4" t="s">
        <v>391</v>
      </c>
      <c r="K15" s="4" t="s">
        <v>400</v>
      </c>
      <c r="L15" s="5">
        <v>21000</v>
      </c>
      <c r="M15" s="4" t="s">
        <v>329</v>
      </c>
      <c r="N15" s="6">
        <v>0.37321759259259002</v>
      </c>
      <c r="O15" s="4" t="s">
        <v>386</v>
      </c>
      <c r="P15" s="3"/>
    </row>
    <row r="16" spans="3:16" x14ac:dyDescent="0.25">
      <c r="C16" s="3">
        <v>46295</v>
      </c>
      <c r="D16" s="4" t="s">
        <v>383</v>
      </c>
      <c r="E16" s="4" t="s">
        <v>313</v>
      </c>
      <c r="F16" s="4" t="s">
        <v>314</v>
      </c>
      <c r="G16" s="4" t="s">
        <v>7</v>
      </c>
      <c r="H16" s="4" t="s">
        <v>107</v>
      </c>
      <c r="I16" s="4" t="s">
        <v>317</v>
      </c>
      <c r="J16" s="4" t="s">
        <v>391</v>
      </c>
      <c r="K16" s="4" t="s">
        <v>401</v>
      </c>
      <c r="L16" s="5">
        <v>20000</v>
      </c>
      <c r="M16" s="4" t="s">
        <v>318</v>
      </c>
      <c r="N16" s="6">
        <v>0.75776620370369996</v>
      </c>
      <c r="O16" s="4" t="s">
        <v>386</v>
      </c>
      <c r="P16" s="3"/>
    </row>
    <row r="17" spans="3:16" x14ac:dyDescent="0.25">
      <c r="C17" s="3">
        <v>46295</v>
      </c>
      <c r="D17" s="4" t="s">
        <v>383</v>
      </c>
      <c r="E17" s="4" t="s">
        <v>313</v>
      </c>
      <c r="F17" s="4" t="s">
        <v>314</v>
      </c>
      <c r="G17" s="4" t="s">
        <v>7</v>
      </c>
      <c r="H17" s="4" t="s">
        <v>107</v>
      </c>
      <c r="I17" s="4" t="s">
        <v>315</v>
      </c>
      <c r="J17" s="4" t="s">
        <v>391</v>
      </c>
      <c r="K17" s="4" t="s">
        <v>402</v>
      </c>
      <c r="L17" s="5">
        <v>20000</v>
      </c>
      <c r="M17" s="4" t="s">
        <v>316</v>
      </c>
      <c r="N17" s="6">
        <v>0.75780092592592996</v>
      </c>
      <c r="O17" s="4" t="s">
        <v>386</v>
      </c>
      <c r="P17" s="3"/>
    </row>
    <row r="18" spans="3:16" x14ac:dyDescent="0.25">
      <c r="C18" s="3">
        <v>46296</v>
      </c>
      <c r="D18" s="4" t="s">
        <v>383</v>
      </c>
      <c r="E18" s="4" t="s">
        <v>340</v>
      </c>
      <c r="F18" s="4" t="s">
        <v>341</v>
      </c>
      <c r="G18" s="4" t="s">
        <v>7</v>
      </c>
      <c r="H18" s="4" t="s">
        <v>343</v>
      </c>
      <c r="I18" s="4" t="s">
        <v>351</v>
      </c>
      <c r="J18" s="4" t="s">
        <v>391</v>
      </c>
      <c r="K18" s="4" t="s">
        <v>403</v>
      </c>
      <c r="L18" s="5">
        <v>32000</v>
      </c>
      <c r="M18" s="4" t="s">
        <v>352</v>
      </c>
      <c r="N18" s="6">
        <v>0.47210648148147999</v>
      </c>
      <c r="O18" s="4" t="s">
        <v>386</v>
      </c>
      <c r="P18" s="3"/>
    </row>
    <row r="19" spans="3:16" x14ac:dyDescent="0.25">
      <c r="C19" s="3">
        <v>46296</v>
      </c>
      <c r="D19" s="4" t="s">
        <v>383</v>
      </c>
      <c r="E19" s="4" t="s">
        <v>270</v>
      </c>
      <c r="F19" s="4" t="s">
        <v>271</v>
      </c>
      <c r="G19" s="4" t="s">
        <v>7</v>
      </c>
      <c r="H19" s="4" t="s">
        <v>81</v>
      </c>
      <c r="I19" s="4" t="s">
        <v>275</v>
      </c>
      <c r="J19" s="4" t="s">
        <v>391</v>
      </c>
      <c r="K19" s="4" t="s">
        <v>404</v>
      </c>
      <c r="L19" s="5">
        <v>10080</v>
      </c>
      <c r="M19" s="4" t="s">
        <v>276</v>
      </c>
      <c r="N19" s="6">
        <v>0.39100694444444001</v>
      </c>
      <c r="O19" s="4" t="s">
        <v>386</v>
      </c>
      <c r="P19" s="3"/>
    </row>
    <row r="20" spans="3:16" x14ac:dyDescent="0.25">
      <c r="C20" s="3">
        <v>46296</v>
      </c>
      <c r="D20" s="4" t="s">
        <v>383</v>
      </c>
      <c r="E20" s="4" t="s">
        <v>171</v>
      </c>
      <c r="F20" s="4" t="s">
        <v>172</v>
      </c>
      <c r="G20" s="4" t="s">
        <v>7</v>
      </c>
      <c r="H20" s="4" t="s">
        <v>174</v>
      </c>
      <c r="I20" s="4" t="s">
        <v>177</v>
      </c>
      <c r="J20" s="4" t="s">
        <v>11</v>
      </c>
      <c r="K20" s="4" t="s">
        <v>405</v>
      </c>
      <c r="L20" s="5">
        <v>1000</v>
      </c>
      <c r="M20" s="4" t="s">
        <v>175</v>
      </c>
      <c r="N20" s="6">
        <v>0.45748842592592998</v>
      </c>
      <c r="O20" s="4" t="s">
        <v>386</v>
      </c>
      <c r="P20" s="3"/>
    </row>
    <row r="21" spans="3:16" x14ac:dyDescent="0.25">
      <c r="C21" s="3">
        <v>46296</v>
      </c>
      <c r="D21" s="4" t="s">
        <v>383</v>
      </c>
      <c r="E21" s="4" t="s">
        <v>277</v>
      </c>
      <c r="F21" s="4" t="s">
        <v>278</v>
      </c>
      <c r="G21" s="4" t="s">
        <v>7</v>
      </c>
      <c r="H21" s="4" t="s">
        <v>81</v>
      </c>
      <c r="I21" s="4" t="s">
        <v>279</v>
      </c>
      <c r="J21" s="4" t="s">
        <v>391</v>
      </c>
      <c r="K21" s="4" t="s">
        <v>406</v>
      </c>
      <c r="L21" s="5">
        <v>10368</v>
      </c>
      <c r="M21" s="4" t="s">
        <v>280</v>
      </c>
      <c r="N21" s="6">
        <v>0.33833333333332999</v>
      </c>
      <c r="O21" s="4" t="s">
        <v>386</v>
      </c>
      <c r="P21" s="3"/>
    </row>
    <row r="22" spans="3:16" x14ac:dyDescent="0.25">
      <c r="C22" s="3">
        <v>46296</v>
      </c>
      <c r="D22" s="4" t="s">
        <v>383</v>
      </c>
      <c r="E22" s="4" t="s">
        <v>143</v>
      </c>
      <c r="F22" s="4" t="s">
        <v>144</v>
      </c>
      <c r="G22" s="4" t="s">
        <v>7</v>
      </c>
      <c r="H22" s="4" t="s">
        <v>8</v>
      </c>
      <c r="I22" s="4" t="s">
        <v>145</v>
      </c>
      <c r="J22" s="4" t="s">
        <v>384</v>
      </c>
      <c r="K22" s="4" t="s">
        <v>407</v>
      </c>
      <c r="L22" s="5">
        <v>3915</v>
      </c>
      <c r="M22" s="4" t="s">
        <v>146</v>
      </c>
      <c r="N22" s="6">
        <v>0.41327546296296003</v>
      </c>
      <c r="O22" s="4" t="s">
        <v>386</v>
      </c>
      <c r="P22" s="3"/>
    </row>
    <row r="23" spans="3:16" x14ac:dyDescent="0.25">
      <c r="C23" s="3">
        <v>46300</v>
      </c>
      <c r="D23" s="4" t="s">
        <v>383</v>
      </c>
      <c r="E23" s="4" t="s">
        <v>340</v>
      </c>
      <c r="F23" s="4" t="s">
        <v>341</v>
      </c>
      <c r="G23" s="4" t="s">
        <v>7</v>
      </c>
      <c r="H23" s="4" t="s">
        <v>343</v>
      </c>
      <c r="I23" s="4" t="s">
        <v>349</v>
      </c>
      <c r="J23" s="4" t="s">
        <v>391</v>
      </c>
      <c r="K23" s="4" t="s">
        <v>408</v>
      </c>
      <c r="L23" s="5">
        <v>26000</v>
      </c>
      <c r="M23" s="4" t="s">
        <v>350</v>
      </c>
      <c r="N23" s="6">
        <v>0.59155092592592995</v>
      </c>
      <c r="O23" s="4" t="s">
        <v>386</v>
      </c>
      <c r="P23" s="3"/>
    </row>
    <row r="24" spans="3:16" x14ac:dyDescent="0.25">
      <c r="C24" s="3">
        <v>46300</v>
      </c>
      <c r="D24" s="4" t="s">
        <v>383</v>
      </c>
      <c r="E24" s="4" t="s">
        <v>340</v>
      </c>
      <c r="F24" s="4" t="s">
        <v>341</v>
      </c>
      <c r="G24" s="4" t="s">
        <v>7</v>
      </c>
      <c r="H24" s="4" t="s">
        <v>343</v>
      </c>
      <c r="I24" s="4" t="s">
        <v>347</v>
      </c>
      <c r="J24" s="4" t="s">
        <v>391</v>
      </c>
      <c r="K24" s="4" t="s">
        <v>409</v>
      </c>
      <c r="L24" s="5">
        <v>26000</v>
      </c>
      <c r="M24" s="4" t="s">
        <v>348</v>
      </c>
      <c r="N24" s="6">
        <v>0.59222222222221998</v>
      </c>
      <c r="O24" s="4" t="s">
        <v>386</v>
      </c>
      <c r="P24" s="3"/>
    </row>
    <row r="25" spans="3:16" x14ac:dyDescent="0.25">
      <c r="C25" s="3">
        <v>46300</v>
      </c>
      <c r="D25" s="4" t="s">
        <v>383</v>
      </c>
      <c r="E25" s="4" t="s">
        <v>78</v>
      </c>
      <c r="F25" s="4" t="s">
        <v>79</v>
      </c>
      <c r="G25" s="4" t="s">
        <v>7</v>
      </c>
      <c r="H25" s="4" t="s">
        <v>81</v>
      </c>
      <c r="I25" s="4" t="s">
        <v>85</v>
      </c>
      <c r="J25" s="4" t="s">
        <v>391</v>
      </c>
      <c r="K25" s="4" t="s">
        <v>410</v>
      </c>
      <c r="L25" s="5">
        <v>1152</v>
      </c>
      <c r="M25" s="4" t="s">
        <v>82</v>
      </c>
      <c r="N25" s="6">
        <v>0.38670138888889</v>
      </c>
      <c r="O25" s="4" t="s">
        <v>386</v>
      </c>
      <c r="P25" s="3"/>
    </row>
    <row r="26" spans="3:16" x14ac:dyDescent="0.25">
      <c r="C26" s="3">
        <v>46300</v>
      </c>
      <c r="D26" s="4" t="s">
        <v>389</v>
      </c>
      <c r="E26" s="4" t="s">
        <v>178</v>
      </c>
      <c r="F26" s="4" t="s">
        <v>179</v>
      </c>
      <c r="G26" s="4" t="s">
        <v>7</v>
      </c>
      <c r="H26" s="4" t="s">
        <v>17</v>
      </c>
      <c r="I26" s="4" t="s">
        <v>180</v>
      </c>
      <c r="J26" s="4" t="s">
        <v>384</v>
      </c>
      <c r="K26" s="4" t="s">
        <v>411</v>
      </c>
      <c r="L26" s="5">
        <v>11000</v>
      </c>
      <c r="M26" s="4" t="s">
        <v>181</v>
      </c>
      <c r="N26" s="6">
        <v>0.63113425925926003</v>
      </c>
      <c r="O26" s="4" t="s">
        <v>386</v>
      </c>
      <c r="P26" s="3"/>
    </row>
    <row r="27" spans="3:16" x14ac:dyDescent="0.25">
      <c r="C27" s="3">
        <v>46300</v>
      </c>
      <c r="D27" s="4" t="s">
        <v>383</v>
      </c>
      <c r="E27" s="4" t="s">
        <v>151</v>
      </c>
      <c r="F27" s="4" t="s">
        <v>152</v>
      </c>
      <c r="G27" s="4" t="s">
        <v>7</v>
      </c>
      <c r="H27" s="4" t="s">
        <v>17</v>
      </c>
      <c r="I27" s="4" t="s">
        <v>153</v>
      </c>
      <c r="J27" s="4" t="s">
        <v>384</v>
      </c>
      <c r="K27" s="4" t="s">
        <v>412</v>
      </c>
      <c r="L27" s="5">
        <v>6000</v>
      </c>
      <c r="M27" s="4" t="s">
        <v>154</v>
      </c>
      <c r="N27" s="6">
        <v>0.63364583333333002</v>
      </c>
      <c r="O27" s="4" t="s">
        <v>386</v>
      </c>
      <c r="P27" s="3"/>
    </row>
    <row r="28" spans="3:16" x14ac:dyDescent="0.25">
      <c r="C28" s="3">
        <v>46300</v>
      </c>
      <c r="D28" s="4" t="s">
        <v>383</v>
      </c>
      <c r="E28" s="4" t="s">
        <v>20</v>
      </c>
      <c r="F28" s="4" t="s">
        <v>21</v>
      </c>
      <c r="G28" s="4" t="s">
        <v>7</v>
      </c>
      <c r="H28" s="4" t="s">
        <v>17</v>
      </c>
      <c r="I28" s="4" t="s">
        <v>22</v>
      </c>
      <c r="J28" s="4" t="s">
        <v>384</v>
      </c>
      <c r="K28" s="4" t="s">
        <v>412</v>
      </c>
      <c r="L28" s="5">
        <v>6000</v>
      </c>
      <c r="M28" s="4" t="s">
        <v>23</v>
      </c>
      <c r="N28" s="6">
        <v>0.63364583333333002</v>
      </c>
      <c r="O28" s="4" t="s">
        <v>386</v>
      </c>
      <c r="P28" s="3"/>
    </row>
    <row r="29" spans="3:16" x14ac:dyDescent="0.25">
      <c r="C29" s="3">
        <v>46300</v>
      </c>
      <c r="D29" s="4" t="s">
        <v>383</v>
      </c>
      <c r="E29" s="4" t="s">
        <v>147</v>
      </c>
      <c r="F29" s="4" t="s">
        <v>148</v>
      </c>
      <c r="G29" s="4" t="s">
        <v>7</v>
      </c>
      <c r="H29" s="4" t="s">
        <v>17</v>
      </c>
      <c r="I29" s="4" t="s">
        <v>149</v>
      </c>
      <c r="J29" s="4" t="s">
        <v>384</v>
      </c>
      <c r="K29" s="4" t="s">
        <v>411</v>
      </c>
      <c r="L29" s="5">
        <v>15200</v>
      </c>
      <c r="M29" s="4" t="s">
        <v>150</v>
      </c>
      <c r="N29" s="6">
        <v>0.63113425925926003</v>
      </c>
      <c r="O29" s="4" t="s">
        <v>386</v>
      </c>
      <c r="P29" s="3"/>
    </row>
    <row r="30" spans="3:16" x14ac:dyDescent="0.25">
      <c r="C30" s="3">
        <v>46300</v>
      </c>
      <c r="D30" s="4" t="s">
        <v>383</v>
      </c>
      <c r="E30" s="4" t="s">
        <v>29</v>
      </c>
      <c r="F30" s="4" t="s">
        <v>30</v>
      </c>
      <c r="G30" s="4" t="s">
        <v>7</v>
      </c>
      <c r="H30" s="4" t="s">
        <v>17</v>
      </c>
      <c r="I30" s="4" t="s">
        <v>31</v>
      </c>
      <c r="J30" s="4" t="s">
        <v>384</v>
      </c>
      <c r="K30" s="4" t="s">
        <v>412</v>
      </c>
      <c r="L30" s="5">
        <v>6000</v>
      </c>
      <c r="M30" s="4" t="s">
        <v>32</v>
      </c>
      <c r="N30" s="6">
        <v>0.63364583333333002</v>
      </c>
      <c r="O30" s="4" t="s">
        <v>386</v>
      </c>
      <c r="P30" s="3"/>
    </row>
    <row r="31" spans="3:16" x14ac:dyDescent="0.25">
      <c r="C31" s="3">
        <v>46300</v>
      </c>
      <c r="D31" s="4" t="s">
        <v>383</v>
      </c>
      <c r="E31" s="4" t="s">
        <v>215</v>
      </c>
      <c r="F31" s="4" t="s">
        <v>216</v>
      </c>
      <c r="G31" s="4" t="s">
        <v>7</v>
      </c>
      <c r="H31" s="4" t="s">
        <v>17</v>
      </c>
      <c r="I31" s="4" t="s">
        <v>217</v>
      </c>
      <c r="J31" s="4" t="s">
        <v>384</v>
      </c>
      <c r="K31" s="4" t="s">
        <v>413</v>
      </c>
      <c r="L31" s="5">
        <v>15400</v>
      </c>
      <c r="M31" s="4" t="s">
        <v>218</v>
      </c>
      <c r="N31" s="6">
        <v>0.63186342592593003</v>
      </c>
      <c r="O31" s="4" t="s">
        <v>386</v>
      </c>
      <c r="P31" s="3"/>
    </row>
    <row r="32" spans="3:16" x14ac:dyDescent="0.25">
      <c r="C32" s="3">
        <v>46300</v>
      </c>
      <c r="D32" s="4" t="s">
        <v>383</v>
      </c>
      <c r="E32" s="4" t="s">
        <v>129</v>
      </c>
      <c r="F32" s="4" t="s">
        <v>130</v>
      </c>
      <c r="G32" s="4" t="s">
        <v>7</v>
      </c>
      <c r="H32" s="4" t="s">
        <v>17</v>
      </c>
      <c r="I32" s="4" t="s">
        <v>135</v>
      </c>
      <c r="J32" s="4" t="s">
        <v>384</v>
      </c>
      <c r="K32" s="4" t="s">
        <v>413</v>
      </c>
      <c r="L32" s="5">
        <v>27600</v>
      </c>
      <c r="M32" s="4" t="s">
        <v>136</v>
      </c>
      <c r="N32" s="6">
        <v>0.63186342592593003</v>
      </c>
      <c r="O32" s="4" t="s">
        <v>386</v>
      </c>
      <c r="P32" s="3"/>
    </row>
    <row r="33" spans="3:16" x14ac:dyDescent="0.25">
      <c r="C33" s="3">
        <v>46300</v>
      </c>
      <c r="D33" s="4" t="s">
        <v>383</v>
      </c>
      <c r="E33" s="4" t="s">
        <v>129</v>
      </c>
      <c r="F33" s="4" t="s">
        <v>130</v>
      </c>
      <c r="G33" s="4" t="s">
        <v>7</v>
      </c>
      <c r="H33" s="4" t="s">
        <v>17</v>
      </c>
      <c r="I33" s="4" t="s">
        <v>133</v>
      </c>
      <c r="J33" s="4" t="s">
        <v>384</v>
      </c>
      <c r="K33" s="4" t="s">
        <v>414</v>
      </c>
      <c r="L33" s="5">
        <v>17600</v>
      </c>
      <c r="M33" s="4" t="s">
        <v>134</v>
      </c>
      <c r="N33" s="6">
        <v>0.63239583333333005</v>
      </c>
      <c r="O33" s="4" t="s">
        <v>386</v>
      </c>
      <c r="P33" s="3"/>
    </row>
    <row r="34" spans="3:16" x14ac:dyDescent="0.25">
      <c r="C34" s="3">
        <v>46300</v>
      </c>
      <c r="D34" s="4" t="s">
        <v>383</v>
      </c>
      <c r="E34" s="4" t="s">
        <v>155</v>
      </c>
      <c r="F34" s="4" t="s">
        <v>156</v>
      </c>
      <c r="G34" s="4" t="s">
        <v>7</v>
      </c>
      <c r="H34" s="4" t="s">
        <v>158</v>
      </c>
      <c r="I34" s="4" t="s">
        <v>162</v>
      </c>
      <c r="J34" s="4" t="s">
        <v>391</v>
      </c>
      <c r="K34" s="4" t="s">
        <v>415</v>
      </c>
      <c r="L34" s="5">
        <v>800</v>
      </c>
      <c r="M34" s="4" t="s">
        <v>163</v>
      </c>
      <c r="N34" s="6">
        <v>0.59967592592593</v>
      </c>
      <c r="O34" s="4" t="s">
        <v>386</v>
      </c>
      <c r="P34" s="3"/>
    </row>
    <row r="35" spans="3:16" x14ac:dyDescent="0.25">
      <c r="C35" s="3">
        <v>46300</v>
      </c>
      <c r="D35" s="4" t="s">
        <v>383</v>
      </c>
      <c r="E35" s="4" t="s">
        <v>155</v>
      </c>
      <c r="F35" s="4" t="s">
        <v>156</v>
      </c>
      <c r="G35" s="4" t="s">
        <v>7</v>
      </c>
      <c r="H35" s="4" t="s">
        <v>158</v>
      </c>
      <c r="I35" s="4" t="s">
        <v>165</v>
      </c>
      <c r="J35" s="4" t="s">
        <v>391</v>
      </c>
      <c r="K35" s="4" t="s">
        <v>416</v>
      </c>
      <c r="L35" s="5">
        <v>2800</v>
      </c>
      <c r="M35" s="4" t="s">
        <v>159</v>
      </c>
      <c r="N35" s="6">
        <v>0.60107638888889003</v>
      </c>
      <c r="O35" s="4" t="s">
        <v>386</v>
      </c>
      <c r="P35" s="3"/>
    </row>
    <row r="36" spans="3:16" x14ac:dyDescent="0.25">
      <c r="C36" s="3">
        <v>46300</v>
      </c>
      <c r="D36" s="4" t="s">
        <v>383</v>
      </c>
      <c r="E36" s="4" t="s">
        <v>198</v>
      </c>
      <c r="F36" s="4" t="s">
        <v>199</v>
      </c>
      <c r="G36" s="4" t="s">
        <v>7</v>
      </c>
      <c r="H36" s="4" t="s">
        <v>201</v>
      </c>
      <c r="I36" s="4" t="s">
        <v>200</v>
      </c>
      <c r="J36" s="4" t="s">
        <v>384</v>
      </c>
      <c r="K36" s="4" t="s">
        <v>417</v>
      </c>
      <c r="L36" s="5">
        <v>20000</v>
      </c>
      <c r="M36" s="4" t="s">
        <v>202</v>
      </c>
      <c r="N36" s="6">
        <v>0.59805555555556</v>
      </c>
      <c r="O36" s="4" t="s">
        <v>386</v>
      </c>
      <c r="P36" s="3"/>
    </row>
    <row r="37" spans="3:16" x14ac:dyDescent="0.25">
      <c r="C37" s="3">
        <v>46301</v>
      </c>
      <c r="D37" s="4" t="s">
        <v>383</v>
      </c>
      <c r="E37" s="4" t="s">
        <v>284</v>
      </c>
      <c r="F37" s="4" t="s">
        <v>285</v>
      </c>
      <c r="G37" s="4" t="s">
        <v>7</v>
      </c>
      <c r="H37" s="4" t="s">
        <v>174</v>
      </c>
      <c r="I37" s="4" t="s">
        <v>289</v>
      </c>
      <c r="J37" s="4" t="s">
        <v>391</v>
      </c>
      <c r="K37" s="4" t="s">
        <v>418</v>
      </c>
      <c r="L37" s="5">
        <v>2600</v>
      </c>
      <c r="M37" s="4" t="s">
        <v>290</v>
      </c>
      <c r="N37" s="6">
        <v>0.47326388888888998</v>
      </c>
      <c r="O37" s="4" t="s">
        <v>386</v>
      </c>
      <c r="P37" s="3"/>
    </row>
    <row r="38" spans="3:16" x14ac:dyDescent="0.25">
      <c r="C38" s="3">
        <v>46301</v>
      </c>
      <c r="D38" s="4" t="s">
        <v>383</v>
      </c>
      <c r="E38" s="4" t="s">
        <v>284</v>
      </c>
      <c r="F38" s="4" t="s">
        <v>285</v>
      </c>
      <c r="G38" s="4" t="s">
        <v>7</v>
      </c>
      <c r="H38" s="4" t="s">
        <v>174</v>
      </c>
      <c r="I38" s="4" t="s">
        <v>295</v>
      </c>
      <c r="J38" s="4" t="s">
        <v>391</v>
      </c>
      <c r="K38" s="4" t="s">
        <v>419</v>
      </c>
      <c r="L38" s="5">
        <v>1600</v>
      </c>
      <c r="M38" s="4" t="s">
        <v>290</v>
      </c>
      <c r="N38" s="6">
        <v>0.47378472222222001</v>
      </c>
      <c r="O38" s="4" t="s">
        <v>386</v>
      </c>
      <c r="P38" s="3"/>
    </row>
    <row r="39" spans="3:16" x14ac:dyDescent="0.25">
      <c r="C39" s="3">
        <v>46301</v>
      </c>
      <c r="D39" s="4" t="s">
        <v>383</v>
      </c>
      <c r="E39" s="4" t="s">
        <v>192</v>
      </c>
      <c r="F39" s="4" t="s">
        <v>193</v>
      </c>
      <c r="G39" s="4" t="s">
        <v>7</v>
      </c>
      <c r="H39" s="4" t="s">
        <v>195</v>
      </c>
      <c r="I39" s="4" t="s">
        <v>194</v>
      </c>
      <c r="J39" s="4" t="s">
        <v>391</v>
      </c>
      <c r="K39" s="4" t="s">
        <v>420</v>
      </c>
      <c r="L39" s="5">
        <v>21600</v>
      </c>
      <c r="M39" s="4" t="s">
        <v>196</v>
      </c>
      <c r="N39" s="6">
        <v>0.72561342592593003</v>
      </c>
      <c r="O39" s="4" t="s">
        <v>386</v>
      </c>
      <c r="P39" s="3"/>
    </row>
    <row r="40" spans="3:16" x14ac:dyDescent="0.25">
      <c r="C40" s="3">
        <v>46301</v>
      </c>
      <c r="D40" s="4" t="s">
        <v>383</v>
      </c>
      <c r="E40" s="4" t="s">
        <v>117</v>
      </c>
      <c r="F40" s="4" t="s">
        <v>118</v>
      </c>
      <c r="G40" s="4" t="s">
        <v>7</v>
      </c>
      <c r="H40" s="4" t="s">
        <v>17</v>
      </c>
      <c r="I40" s="4" t="s">
        <v>119</v>
      </c>
      <c r="J40" s="4" t="s">
        <v>384</v>
      </c>
      <c r="K40" s="4" t="s">
        <v>421</v>
      </c>
      <c r="L40" s="5">
        <v>15400</v>
      </c>
      <c r="M40" s="4" t="s">
        <v>120</v>
      </c>
      <c r="N40" s="6">
        <v>0.42516203703703997</v>
      </c>
      <c r="O40" s="4" t="s">
        <v>386</v>
      </c>
      <c r="P40" s="3"/>
    </row>
    <row r="41" spans="3:16" x14ac:dyDescent="0.25">
      <c r="C41" s="3">
        <v>46301</v>
      </c>
      <c r="D41" s="4" t="s">
        <v>383</v>
      </c>
      <c r="E41" s="4" t="s">
        <v>129</v>
      </c>
      <c r="F41" s="4" t="s">
        <v>130</v>
      </c>
      <c r="G41" s="4" t="s">
        <v>7</v>
      </c>
      <c r="H41" s="4" t="s">
        <v>17</v>
      </c>
      <c r="I41" s="4" t="s">
        <v>131</v>
      </c>
      <c r="J41" s="4" t="s">
        <v>384</v>
      </c>
      <c r="K41" s="4" t="s">
        <v>421</v>
      </c>
      <c r="L41" s="5">
        <v>16600</v>
      </c>
      <c r="M41" s="4" t="s">
        <v>132</v>
      </c>
      <c r="N41" s="6">
        <v>0.42516203703703997</v>
      </c>
      <c r="O41" s="4" t="s">
        <v>386</v>
      </c>
      <c r="P41" s="3"/>
    </row>
    <row r="42" spans="3:16" x14ac:dyDescent="0.25">
      <c r="C42" s="3">
        <v>46301</v>
      </c>
      <c r="D42" s="4" t="s">
        <v>383</v>
      </c>
      <c r="E42" s="4" t="s">
        <v>109</v>
      </c>
      <c r="F42" s="4" t="s">
        <v>110</v>
      </c>
      <c r="G42" s="4" t="s">
        <v>7</v>
      </c>
      <c r="H42" s="4" t="s">
        <v>107</v>
      </c>
      <c r="I42" s="4" t="s">
        <v>111</v>
      </c>
      <c r="J42" s="4" t="s">
        <v>384</v>
      </c>
      <c r="K42" s="4" t="s">
        <v>422</v>
      </c>
      <c r="L42" s="5">
        <v>702</v>
      </c>
      <c r="M42" s="4" t="s">
        <v>112</v>
      </c>
      <c r="N42" s="6">
        <v>0.66928240740740996</v>
      </c>
      <c r="O42" s="4" t="s">
        <v>386</v>
      </c>
      <c r="P42" s="3"/>
    </row>
    <row r="43" spans="3:16" x14ac:dyDescent="0.25">
      <c r="C43" s="3">
        <v>46301</v>
      </c>
      <c r="D43" s="4" t="s">
        <v>383</v>
      </c>
      <c r="E43" s="4" t="s">
        <v>297</v>
      </c>
      <c r="F43" s="4" t="s">
        <v>298</v>
      </c>
      <c r="G43" s="4" t="s">
        <v>7</v>
      </c>
      <c r="H43" s="4" t="s">
        <v>300</v>
      </c>
      <c r="I43" s="4" t="s">
        <v>299</v>
      </c>
      <c r="J43" s="4" t="s">
        <v>391</v>
      </c>
      <c r="K43" s="4" t="s">
        <v>423</v>
      </c>
      <c r="L43" s="5">
        <v>15000</v>
      </c>
      <c r="M43" s="4" t="s">
        <v>301</v>
      </c>
      <c r="N43" s="6">
        <v>0.47275462962963</v>
      </c>
      <c r="O43" s="4" t="s">
        <v>386</v>
      </c>
      <c r="P43" s="3"/>
    </row>
    <row r="44" spans="3:16" x14ac:dyDescent="0.25">
      <c r="C44" s="3">
        <v>46302</v>
      </c>
      <c r="D44" s="4" t="s">
        <v>383</v>
      </c>
      <c r="E44" s="4" t="s">
        <v>277</v>
      </c>
      <c r="F44" s="4" t="s">
        <v>278</v>
      </c>
      <c r="G44" s="4" t="s">
        <v>7</v>
      </c>
      <c r="H44" s="4" t="s">
        <v>81</v>
      </c>
      <c r="I44" s="4" t="s">
        <v>283</v>
      </c>
      <c r="J44" s="4" t="s">
        <v>391</v>
      </c>
      <c r="K44" s="4" t="s">
        <v>424</v>
      </c>
      <c r="L44" s="5">
        <v>5184</v>
      </c>
      <c r="M44" s="4" t="s">
        <v>280</v>
      </c>
      <c r="N44" s="6">
        <v>0.33181712962963</v>
      </c>
      <c r="O44" s="4" t="s">
        <v>386</v>
      </c>
      <c r="P44" s="3"/>
    </row>
    <row r="45" spans="3:16" x14ac:dyDescent="0.25">
      <c r="C45" s="3">
        <v>46302</v>
      </c>
      <c r="D45" s="4" t="s">
        <v>383</v>
      </c>
      <c r="E45" s="4" t="s">
        <v>125</v>
      </c>
      <c r="F45" s="4" t="s">
        <v>126</v>
      </c>
      <c r="G45" s="4" t="s">
        <v>7</v>
      </c>
      <c r="H45" s="4" t="s">
        <v>76</v>
      </c>
      <c r="I45" s="4" t="s">
        <v>127</v>
      </c>
      <c r="J45" s="4" t="s">
        <v>384</v>
      </c>
      <c r="K45" s="4" t="s">
        <v>425</v>
      </c>
      <c r="L45" s="5">
        <v>6122</v>
      </c>
      <c r="M45" s="4" t="s">
        <v>128</v>
      </c>
      <c r="N45" s="6">
        <v>0.47611111111110999</v>
      </c>
      <c r="O45" s="4" t="s">
        <v>386</v>
      </c>
      <c r="P45" s="3"/>
    </row>
    <row r="46" spans="3:16" x14ac:dyDescent="0.25">
      <c r="C46" s="3">
        <v>46302</v>
      </c>
      <c r="D46" s="4" t="s">
        <v>389</v>
      </c>
      <c r="E46" s="4" t="s">
        <v>73</v>
      </c>
      <c r="F46" s="4" t="s">
        <v>74</v>
      </c>
      <c r="G46" s="4" t="s">
        <v>7</v>
      </c>
      <c r="H46" s="4" t="s">
        <v>76</v>
      </c>
      <c r="I46" s="4" t="s">
        <v>75</v>
      </c>
      <c r="J46" s="4" t="s">
        <v>384</v>
      </c>
      <c r="K46" s="4" t="s">
        <v>425</v>
      </c>
      <c r="L46" s="5">
        <v>5000</v>
      </c>
      <c r="M46" s="4" t="s">
        <v>77</v>
      </c>
      <c r="N46" s="6">
        <v>0.47611111111110999</v>
      </c>
      <c r="O46" s="4" t="s">
        <v>386</v>
      </c>
      <c r="P46" s="3"/>
    </row>
    <row r="47" spans="3:16" x14ac:dyDescent="0.25">
      <c r="C47" s="3">
        <v>46302</v>
      </c>
      <c r="D47" s="4" t="s">
        <v>383</v>
      </c>
      <c r="E47" s="4" t="s">
        <v>253</v>
      </c>
      <c r="F47" s="4" t="s">
        <v>254</v>
      </c>
      <c r="G47" s="4" t="s">
        <v>7</v>
      </c>
      <c r="H47" s="4" t="s">
        <v>8</v>
      </c>
      <c r="I47" s="4" t="s">
        <v>257</v>
      </c>
      <c r="J47" s="4" t="s">
        <v>384</v>
      </c>
      <c r="K47" s="4" t="s">
        <v>426</v>
      </c>
      <c r="L47" s="5">
        <v>2490</v>
      </c>
      <c r="M47" s="4" t="s">
        <v>256</v>
      </c>
      <c r="N47" s="6">
        <v>0.35932870370370001</v>
      </c>
      <c r="O47" s="4" t="s">
        <v>386</v>
      </c>
      <c r="P47" s="3"/>
    </row>
    <row r="48" spans="3:16" x14ac:dyDescent="0.25">
      <c r="C48" s="3">
        <v>46302</v>
      </c>
      <c r="D48" s="4" t="s">
        <v>383</v>
      </c>
      <c r="E48" s="4" t="s">
        <v>253</v>
      </c>
      <c r="F48" s="4" t="s">
        <v>254</v>
      </c>
      <c r="G48" s="4" t="s">
        <v>7</v>
      </c>
      <c r="H48" s="4" t="s">
        <v>8</v>
      </c>
      <c r="I48" s="4" t="s">
        <v>258</v>
      </c>
      <c r="J48" s="4" t="s">
        <v>384</v>
      </c>
      <c r="K48" s="4" t="s">
        <v>427</v>
      </c>
      <c r="L48" s="5">
        <v>3780</v>
      </c>
      <c r="M48" s="4" t="s">
        <v>256</v>
      </c>
      <c r="N48" s="6">
        <v>0.69295138888888996</v>
      </c>
      <c r="O48" s="4" t="s">
        <v>386</v>
      </c>
      <c r="P48" s="3"/>
    </row>
    <row r="49" spans="3:16" x14ac:dyDescent="0.25">
      <c r="C49" s="3">
        <v>46302</v>
      </c>
      <c r="D49" s="4" t="s">
        <v>383</v>
      </c>
      <c r="E49" s="4" t="s">
        <v>330</v>
      </c>
      <c r="F49" s="4" t="s">
        <v>331</v>
      </c>
      <c r="G49" s="4" t="s">
        <v>7</v>
      </c>
      <c r="H49" s="4" t="s">
        <v>76</v>
      </c>
      <c r="I49" s="4" t="s">
        <v>332</v>
      </c>
      <c r="J49" s="4" t="s">
        <v>384</v>
      </c>
      <c r="K49" s="4" t="s">
        <v>425</v>
      </c>
      <c r="L49" s="5">
        <v>10000</v>
      </c>
      <c r="M49" s="4" t="s">
        <v>333</v>
      </c>
      <c r="N49" s="6">
        <v>0.47611111111110999</v>
      </c>
      <c r="O49" s="4" t="s">
        <v>386</v>
      </c>
      <c r="P49" s="3"/>
    </row>
    <row r="50" spans="3:16" x14ac:dyDescent="0.25">
      <c r="C50" s="3">
        <v>46303</v>
      </c>
      <c r="D50" s="4" t="s">
        <v>383</v>
      </c>
      <c r="E50" s="4" t="s">
        <v>78</v>
      </c>
      <c r="F50" s="4" t="s">
        <v>79</v>
      </c>
      <c r="G50" s="4" t="s">
        <v>7</v>
      </c>
      <c r="H50" s="4" t="s">
        <v>81</v>
      </c>
      <c r="I50" s="4" t="s">
        <v>80</v>
      </c>
      <c r="J50" s="4" t="s">
        <v>391</v>
      </c>
      <c r="K50" s="4" t="s">
        <v>428</v>
      </c>
      <c r="L50" s="5">
        <v>1440</v>
      </c>
      <c r="M50" s="4" t="s">
        <v>82</v>
      </c>
      <c r="N50" s="6">
        <v>0.69950231481480996</v>
      </c>
      <c r="O50" s="4" t="s">
        <v>386</v>
      </c>
      <c r="P50" s="3"/>
    </row>
    <row r="51" spans="3:16" x14ac:dyDescent="0.25">
      <c r="C51" s="3">
        <v>46303</v>
      </c>
      <c r="D51" s="4" t="s">
        <v>383</v>
      </c>
      <c r="E51" s="4" t="s">
        <v>259</v>
      </c>
      <c r="F51" s="4" t="s">
        <v>260</v>
      </c>
      <c r="G51" s="4" t="s">
        <v>7</v>
      </c>
      <c r="H51" s="4" t="s">
        <v>81</v>
      </c>
      <c r="I51" s="4" t="s">
        <v>261</v>
      </c>
      <c r="J51" s="4" t="s">
        <v>391</v>
      </c>
      <c r="K51" s="4" t="s">
        <v>429</v>
      </c>
      <c r="L51" s="5">
        <v>4032</v>
      </c>
      <c r="M51" s="4" t="s">
        <v>262</v>
      </c>
      <c r="N51" s="6">
        <v>0.70133101851851998</v>
      </c>
      <c r="O51" s="4" t="s">
        <v>386</v>
      </c>
      <c r="P51" s="3"/>
    </row>
    <row r="52" spans="3:16" x14ac:dyDescent="0.25">
      <c r="C52" s="3">
        <v>46303</v>
      </c>
      <c r="D52" s="4" t="s">
        <v>383</v>
      </c>
      <c r="E52" s="4" t="s">
        <v>24</v>
      </c>
      <c r="F52" s="4" t="s">
        <v>25</v>
      </c>
      <c r="G52" s="4" t="s">
        <v>7</v>
      </c>
      <c r="H52" s="4" t="s">
        <v>27</v>
      </c>
      <c r="I52" s="4" t="s">
        <v>26</v>
      </c>
      <c r="J52" s="4" t="s">
        <v>384</v>
      </c>
      <c r="K52" s="4" t="s">
        <v>430</v>
      </c>
      <c r="L52" s="5">
        <v>16110</v>
      </c>
      <c r="M52" s="4" t="s">
        <v>28</v>
      </c>
      <c r="N52" s="6">
        <v>0.59850694444443997</v>
      </c>
      <c r="O52" s="4" t="s">
        <v>386</v>
      </c>
      <c r="P52" s="3"/>
    </row>
    <row r="53" spans="3:16" x14ac:dyDescent="0.25">
      <c r="C53" s="3">
        <v>46303</v>
      </c>
      <c r="D53" s="4" t="s">
        <v>383</v>
      </c>
      <c r="E53" s="4" t="s">
        <v>277</v>
      </c>
      <c r="F53" s="4" t="s">
        <v>278</v>
      </c>
      <c r="G53" s="4" t="s">
        <v>7</v>
      </c>
      <c r="H53" s="4" t="s">
        <v>81</v>
      </c>
      <c r="I53" s="4" t="s">
        <v>281</v>
      </c>
      <c r="J53" s="4" t="s">
        <v>391</v>
      </c>
      <c r="K53" s="4" t="s">
        <v>431</v>
      </c>
      <c r="L53" s="5">
        <v>6624</v>
      </c>
      <c r="M53" s="4" t="s">
        <v>282</v>
      </c>
      <c r="N53" s="6">
        <v>0.69409722222222003</v>
      </c>
      <c r="O53" s="4" t="s">
        <v>386</v>
      </c>
      <c r="P53" s="3"/>
    </row>
    <row r="54" spans="3:16" x14ac:dyDescent="0.25">
      <c r="C54" s="3">
        <v>46303</v>
      </c>
      <c r="D54" s="4" t="s">
        <v>389</v>
      </c>
      <c r="E54" s="4" t="s">
        <v>113</v>
      </c>
      <c r="F54" s="4" t="s">
        <v>114</v>
      </c>
      <c r="G54" s="4" t="s">
        <v>7</v>
      </c>
      <c r="H54" s="4" t="s">
        <v>27</v>
      </c>
      <c r="I54" s="4" t="s">
        <v>115</v>
      </c>
      <c r="J54" s="4" t="s">
        <v>384</v>
      </c>
      <c r="K54" s="4" t="s">
        <v>432</v>
      </c>
      <c r="L54" s="5">
        <v>17000</v>
      </c>
      <c r="M54" s="4" t="s">
        <v>116</v>
      </c>
      <c r="N54" s="6">
        <v>0.56633101851851997</v>
      </c>
      <c r="O54" s="4" t="s">
        <v>386</v>
      </c>
      <c r="P54" s="3"/>
    </row>
    <row r="55" spans="3:16" x14ac:dyDescent="0.25">
      <c r="C55" s="3">
        <v>46303</v>
      </c>
      <c r="D55" s="4" t="s">
        <v>383</v>
      </c>
      <c r="E55" s="4" t="s">
        <v>33</v>
      </c>
      <c r="F55" s="4" t="s">
        <v>34</v>
      </c>
      <c r="G55" s="4" t="s">
        <v>7</v>
      </c>
      <c r="H55" s="4" t="s">
        <v>27</v>
      </c>
      <c r="I55" s="4" t="s">
        <v>35</v>
      </c>
      <c r="J55" s="4" t="s">
        <v>384</v>
      </c>
      <c r="K55" s="4" t="s">
        <v>433</v>
      </c>
      <c r="L55" s="5">
        <v>16045</v>
      </c>
      <c r="M55" s="4" t="s">
        <v>36</v>
      </c>
      <c r="N55" s="6">
        <v>0.58912037037037002</v>
      </c>
      <c r="O55" s="4" t="s">
        <v>386</v>
      </c>
      <c r="P55" s="3"/>
    </row>
    <row r="56" spans="3:16" x14ac:dyDescent="0.25">
      <c r="C56" s="3">
        <v>46303</v>
      </c>
      <c r="D56" s="4" t="s">
        <v>383</v>
      </c>
      <c r="E56" s="4" t="s">
        <v>188</v>
      </c>
      <c r="F56" s="4" t="s">
        <v>189</v>
      </c>
      <c r="G56" s="4" t="s">
        <v>7</v>
      </c>
      <c r="H56" s="4" t="s">
        <v>27</v>
      </c>
      <c r="I56" s="4" t="s">
        <v>190</v>
      </c>
      <c r="J56" s="4" t="s">
        <v>384</v>
      </c>
      <c r="K56" s="4" t="s">
        <v>434</v>
      </c>
      <c r="L56" s="5">
        <v>16190</v>
      </c>
      <c r="M56" s="4" t="s">
        <v>191</v>
      </c>
      <c r="N56" s="6">
        <v>0.58195601851851997</v>
      </c>
      <c r="O56" s="4" t="s">
        <v>386</v>
      </c>
      <c r="P56" s="3"/>
    </row>
    <row r="57" spans="3:16" x14ac:dyDescent="0.25">
      <c r="C57" s="3">
        <v>46303</v>
      </c>
      <c r="D57" s="4" t="s">
        <v>383</v>
      </c>
      <c r="E57" s="4" t="s">
        <v>38</v>
      </c>
      <c r="F57" s="4" t="s">
        <v>39</v>
      </c>
      <c r="G57" s="4" t="s">
        <v>7</v>
      </c>
      <c r="H57" s="4" t="s">
        <v>27</v>
      </c>
      <c r="I57" s="4" t="s">
        <v>40</v>
      </c>
      <c r="J57" s="4" t="s">
        <v>384</v>
      </c>
      <c r="K57" s="4" t="s">
        <v>435</v>
      </c>
      <c r="L57" s="5">
        <v>15937</v>
      </c>
      <c r="M57" s="4" t="s">
        <v>41</v>
      </c>
      <c r="N57" s="6">
        <v>0.58717592592593004</v>
      </c>
      <c r="O57" s="4" t="s">
        <v>386</v>
      </c>
      <c r="P57" s="3"/>
    </row>
    <row r="58" spans="3:16" x14ac:dyDescent="0.25">
      <c r="C58" s="3">
        <v>46303</v>
      </c>
      <c r="D58" s="4" t="s">
        <v>383</v>
      </c>
      <c r="E58" s="4" t="s">
        <v>308</v>
      </c>
      <c r="F58" s="4" t="s">
        <v>309</v>
      </c>
      <c r="G58" s="4" t="s">
        <v>7</v>
      </c>
      <c r="H58" s="4" t="s">
        <v>311</v>
      </c>
      <c r="I58" s="4" t="s">
        <v>310</v>
      </c>
      <c r="J58" s="4" t="s">
        <v>391</v>
      </c>
      <c r="K58" s="4" t="s">
        <v>436</v>
      </c>
      <c r="L58" s="5">
        <v>20000</v>
      </c>
      <c r="M58" s="4" t="s">
        <v>312</v>
      </c>
      <c r="N58" s="6">
        <v>0.68951388888888998</v>
      </c>
      <c r="O58" s="4" t="s">
        <v>386</v>
      </c>
      <c r="P58" s="3"/>
    </row>
    <row r="59" spans="3:16" x14ac:dyDescent="0.25">
      <c r="C59" s="3">
        <v>46303</v>
      </c>
      <c r="D59" s="4" t="s">
        <v>383</v>
      </c>
      <c r="E59" s="4" t="s">
        <v>319</v>
      </c>
      <c r="F59" s="4" t="s">
        <v>320</v>
      </c>
      <c r="G59" s="4" t="s">
        <v>7</v>
      </c>
      <c r="H59" s="4" t="s">
        <v>158</v>
      </c>
      <c r="I59" s="4" t="s">
        <v>323</v>
      </c>
      <c r="J59" s="4" t="s">
        <v>391</v>
      </c>
      <c r="K59" s="4" t="s">
        <v>437</v>
      </c>
      <c r="L59" s="5">
        <v>12000</v>
      </c>
      <c r="M59" s="4" t="s">
        <v>324</v>
      </c>
      <c r="N59" s="6">
        <v>0.65320601851852</v>
      </c>
      <c r="O59" s="4" t="s">
        <v>386</v>
      </c>
      <c r="P59" s="3"/>
    </row>
    <row r="60" spans="3:16" x14ac:dyDescent="0.25">
      <c r="C60" s="3">
        <v>46304</v>
      </c>
      <c r="D60" s="4" t="s">
        <v>383</v>
      </c>
      <c r="E60" s="4" t="s">
        <v>340</v>
      </c>
      <c r="F60" s="4" t="s">
        <v>341</v>
      </c>
      <c r="G60" s="4" t="s">
        <v>7</v>
      </c>
      <c r="H60" s="4" t="s">
        <v>343</v>
      </c>
      <c r="I60" s="4" t="s">
        <v>345</v>
      </c>
      <c r="J60" s="4" t="s">
        <v>391</v>
      </c>
      <c r="K60" s="4" t="s">
        <v>438</v>
      </c>
      <c r="L60" s="5">
        <v>90000</v>
      </c>
      <c r="M60" s="4" t="s">
        <v>346</v>
      </c>
      <c r="N60" s="6">
        <v>0.62336805555555996</v>
      </c>
      <c r="O60" s="4" t="s">
        <v>386</v>
      </c>
      <c r="P60" s="3"/>
    </row>
    <row r="61" spans="3:16" x14ac:dyDescent="0.25">
      <c r="C61" s="3">
        <v>46304</v>
      </c>
      <c r="D61" s="4" t="s">
        <v>383</v>
      </c>
      <c r="E61" s="4" t="s">
        <v>304</v>
      </c>
      <c r="F61" s="4" t="s">
        <v>305</v>
      </c>
      <c r="G61" s="4" t="s">
        <v>7</v>
      </c>
      <c r="H61" s="4" t="s">
        <v>195</v>
      </c>
      <c r="I61" s="4" t="s">
        <v>306</v>
      </c>
      <c r="J61" s="4" t="s">
        <v>391</v>
      </c>
      <c r="K61" s="4" t="s">
        <v>439</v>
      </c>
      <c r="L61" s="5">
        <v>16800</v>
      </c>
      <c r="M61" s="4" t="s">
        <v>307</v>
      </c>
      <c r="N61" s="6">
        <v>0.40474537037037001</v>
      </c>
      <c r="O61" s="4" t="s">
        <v>386</v>
      </c>
      <c r="P61" s="3"/>
    </row>
    <row r="62" spans="3:16" x14ac:dyDescent="0.25">
      <c r="C62" s="3">
        <v>46304</v>
      </c>
      <c r="D62" s="4" t="s">
        <v>383</v>
      </c>
      <c r="E62" s="4" t="s">
        <v>284</v>
      </c>
      <c r="F62" s="4" t="s">
        <v>285</v>
      </c>
      <c r="G62" s="4" t="s">
        <v>7</v>
      </c>
      <c r="H62" s="4" t="s">
        <v>174</v>
      </c>
      <c r="I62" s="4" t="s">
        <v>286</v>
      </c>
      <c r="J62" s="4" t="s">
        <v>391</v>
      </c>
      <c r="K62" s="4" t="s">
        <v>440</v>
      </c>
      <c r="L62" s="5">
        <v>5000</v>
      </c>
      <c r="M62" s="4" t="s">
        <v>287</v>
      </c>
      <c r="N62" s="6">
        <v>0.58782407407407</v>
      </c>
      <c r="O62" s="4" t="s">
        <v>386</v>
      </c>
      <c r="P62" s="3"/>
    </row>
    <row r="63" spans="3:16" x14ac:dyDescent="0.25">
      <c r="C63" s="3">
        <v>46304</v>
      </c>
      <c r="D63" s="4" t="s">
        <v>383</v>
      </c>
      <c r="E63" s="4" t="s">
        <v>284</v>
      </c>
      <c r="F63" s="4" t="s">
        <v>285</v>
      </c>
      <c r="G63" s="4" t="s">
        <v>7</v>
      </c>
      <c r="H63" s="4" t="s">
        <v>174</v>
      </c>
      <c r="I63" s="4" t="s">
        <v>288</v>
      </c>
      <c r="J63" s="4" t="s">
        <v>391</v>
      </c>
      <c r="K63" s="4" t="s">
        <v>441</v>
      </c>
      <c r="L63" s="5">
        <v>8000</v>
      </c>
      <c r="M63" s="4" t="s">
        <v>287</v>
      </c>
      <c r="N63" s="6">
        <v>0.58837962962962997</v>
      </c>
      <c r="O63" s="4" t="s">
        <v>386</v>
      </c>
      <c r="P63" s="3"/>
    </row>
    <row r="64" spans="3:16" x14ac:dyDescent="0.25">
      <c r="C64" s="3">
        <v>46304</v>
      </c>
      <c r="D64" s="4" t="s">
        <v>383</v>
      </c>
      <c r="E64" s="4" t="s">
        <v>208</v>
      </c>
      <c r="F64" s="4" t="s">
        <v>209</v>
      </c>
      <c r="G64" s="4" t="s">
        <v>7</v>
      </c>
      <c r="H64" s="4" t="s">
        <v>174</v>
      </c>
      <c r="I64" s="4" t="s">
        <v>213</v>
      </c>
      <c r="J64" s="4" t="s">
        <v>391</v>
      </c>
      <c r="K64" s="4" t="s">
        <v>442</v>
      </c>
      <c r="L64" s="5">
        <v>3060</v>
      </c>
      <c r="M64" s="4" t="s">
        <v>214</v>
      </c>
      <c r="N64" s="6">
        <v>0.57783564814815003</v>
      </c>
      <c r="O64" s="4" t="s">
        <v>386</v>
      </c>
      <c r="P64" s="3"/>
    </row>
    <row r="65" spans="3:16" x14ac:dyDescent="0.25">
      <c r="C65" s="3">
        <v>46304</v>
      </c>
      <c r="D65" s="4" t="s">
        <v>383</v>
      </c>
      <c r="E65" s="4" t="s">
        <v>259</v>
      </c>
      <c r="F65" s="4" t="s">
        <v>260</v>
      </c>
      <c r="G65" s="4" t="s">
        <v>7</v>
      </c>
      <c r="H65" s="4" t="s">
        <v>81</v>
      </c>
      <c r="I65" s="4" t="s">
        <v>265</v>
      </c>
      <c r="J65" s="4" t="s">
        <v>391</v>
      </c>
      <c r="K65" s="4" t="s">
        <v>443</v>
      </c>
      <c r="L65" s="5">
        <v>5184</v>
      </c>
      <c r="M65" s="4" t="s">
        <v>262</v>
      </c>
      <c r="N65" s="6">
        <v>0.31984953703704</v>
      </c>
      <c r="O65" s="4" t="s">
        <v>386</v>
      </c>
      <c r="P65" s="3"/>
    </row>
    <row r="66" spans="3:16" x14ac:dyDescent="0.25">
      <c r="C66" s="3">
        <v>46304</v>
      </c>
      <c r="D66" s="4" t="s">
        <v>383</v>
      </c>
      <c r="E66" s="4" t="s">
        <v>171</v>
      </c>
      <c r="F66" s="4" t="s">
        <v>172</v>
      </c>
      <c r="G66" s="4" t="s">
        <v>7</v>
      </c>
      <c r="H66" s="4" t="s">
        <v>174</v>
      </c>
      <c r="I66" s="4" t="s">
        <v>173</v>
      </c>
      <c r="J66" s="4" t="s">
        <v>11</v>
      </c>
      <c r="K66" s="4" t="s">
        <v>442</v>
      </c>
      <c r="L66" s="5">
        <v>400</v>
      </c>
      <c r="M66" s="4" t="s">
        <v>175</v>
      </c>
      <c r="N66" s="6">
        <v>0.57783564814815003</v>
      </c>
      <c r="O66" s="4" t="s">
        <v>386</v>
      </c>
      <c r="P66" s="3"/>
    </row>
    <row r="67" spans="3:16" x14ac:dyDescent="0.25">
      <c r="C67" s="3">
        <v>46304</v>
      </c>
      <c r="D67" s="4" t="s">
        <v>383</v>
      </c>
      <c r="E67" s="4" t="s">
        <v>182</v>
      </c>
      <c r="F67" s="4" t="s">
        <v>183</v>
      </c>
      <c r="G67" s="4" t="s">
        <v>7</v>
      </c>
      <c r="H67" s="4" t="s">
        <v>81</v>
      </c>
      <c r="I67" s="4" t="s">
        <v>186</v>
      </c>
      <c r="J67" s="4" t="s">
        <v>391</v>
      </c>
      <c r="K67" s="4" t="s">
        <v>444</v>
      </c>
      <c r="L67" s="5">
        <v>4600</v>
      </c>
      <c r="M67" s="4" t="s">
        <v>187</v>
      </c>
      <c r="N67" s="6">
        <v>0.31927083333333001</v>
      </c>
      <c r="O67" s="4" t="s">
        <v>386</v>
      </c>
      <c r="P67" s="3"/>
    </row>
    <row r="68" spans="3:16" x14ac:dyDescent="0.25">
      <c r="C68" s="3">
        <v>46304</v>
      </c>
      <c r="D68" s="4" t="s">
        <v>383</v>
      </c>
      <c r="E68" s="4" t="s">
        <v>182</v>
      </c>
      <c r="F68" s="4" t="s">
        <v>183</v>
      </c>
      <c r="G68" s="4" t="s">
        <v>7</v>
      </c>
      <c r="H68" s="4" t="s">
        <v>81</v>
      </c>
      <c r="I68" s="4" t="s">
        <v>184</v>
      </c>
      <c r="J68" s="4" t="s">
        <v>391</v>
      </c>
      <c r="K68" s="4" t="s">
        <v>445</v>
      </c>
      <c r="L68" s="5">
        <v>1700</v>
      </c>
      <c r="M68" s="4" t="s">
        <v>185</v>
      </c>
      <c r="N68" s="6">
        <v>0.32677083333333001</v>
      </c>
      <c r="O68" s="4" t="s">
        <v>386</v>
      </c>
      <c r="P68" s="3"/>
    </row>
    <row r="69" spans="3:16" x14ac:dyDescent="0.25">
      <c r="C69" s="3">
        <v>46308</v>
      </c>
      <c r="D69" s="4" t="s">
        <v>383</v>
      </c>
      <c r="E69" s="4" t="s">
        <v>78</v>
      </c>
      <c r="F69" s="4" t="s">
        <v>79</v>
      </c>
      <c r="G69" s="4" t="s">
        <v>7</v>
      </c>
      <c r="H69" s="4" t="s">
        <v>81</v>
      </c>
      <c r="I69" s="4" t="s">
        <v>84</v>
      </c>
      <c r="J69" s="4" t="s">
        <v>391</v>
      </c>
      <c r="K69" s="4" t="s">
        <v>446</v>
      </c>
      <c r="L69" s="5">
        <v>1008</v>
      </c>
      <c r="M69" s="4" t="s">
        <v>82</v>
      </c>
      <c r="N69" s="6">
        <v>0.33730324074073997</v>
      </c>
      <c r="O69" s="4" t="s">
        <v>386</v>
      </c>
      <c r="P69" s="3"/>
    </row>
    <row r="70" spans="3:16" x14ac:dyDescent="0.25">
      <c r="C70" s="3">
        <v>46308</v>
      </c>
      <c r="D70" s="4" t="s">
        <v>383</v>
      </c>
      <c r="E70" s="4" t="s">
        <v>90</v>
      </c>
      <c r="F70" s="4" t="s">
        <v>91</v>
      </c>
      <c r="G70" s="4" t="s">
        <v>7</v>
      </c>
      <c r="H70" s="4" t="s">
        <v>17</v>
      </c>
      <c r="I70" s="4" t="s">
        <v>92</v>
      </c>
      <c r="J70" s="4" t="s">
        <v>447</v>
      </c>
      <c r="K70" s="4" t="s">
        <v>448</v>
      </c>
      <c r="L70" s="5">
        <v>15600</v>
      </c>
      <c r="M70" s="4" t="s">
        <v>93</v>
      </c>
      <c r="N70" s="6">
        <v>0.41989583333333003</v>
      </c>
      <c r="O70" s="4" t="s">
        <v>386</v>
      </c>
      <c r="P70" s="3"/>
    </row>
    <row r="71" spans="3:16" x14ac:dyDescent="0.25">
      <c r="C71" s="3">
        <v>46308</v>
      </c>
      <c r="D71" s="4" t="s">
        <v>383</v>
      </c>
      <c r="E71" s="4" t="s">
        <v>266</v>
      </c>
      <c r="F71" s="4" t="s">
        <v>267</v>
      </c>
      <c r="G71" s="4" t="s">
        <v>7</v>
      </c>
      <c r="H71" s="4" t="s">
        <v>195</v>
      </c>
      <c r="I71" s="4" t="s">
        <v>268</v>
      </c>
      <c r="J71" s="4" t="s">
        <v>391</v>
      </c>
      <c r="K71" s="4" t="s">
        <v>449</v>
      </c>
      <c r="L71" s="5">
        <v>16800</v>
      </c>
      <c r="M71" s="4" t="s">
        <v>269</v>
      </c>
      <c r="N71" s="6">
        <v>0.49006944444444001</v>
      </c>
      <c r="O71" s="4" t="s">
        <v>386</v>
      </c>
      <c r="P71" s="3"/>
    </row>
    <row r="72" spans="3:16" x14ac:dyDescent="0.25">
      <c r="C72" s="3">
        <v>46308</v>
      </c>
      <c r="D72" s="4" t="s">
        <v>383</v>
      </c>
      <c r="E72" s="4" t="s">
        <v>259</v>
      </c>
      <c r="F72" s="4" t="s">
        <v>260</v>
      </c>
      <c r="G72" s="4" t="s">
        <v>7</v>
      </c>
      <c r="H72" s="4" t="s">
        <v>81</v>
      </c>
      <c r="I72" s="4" t="s">
        <v>264</v>
      </c>
      <c r="J72" s="4" t="s">
        <v>391</v>
      </c>
      <c r="K72" s="4" t="s">
        <v>450</v>
      </c>
      <c r="L72" s="5">
        <v>10080</v>
      </c>
      <c r="M72" s="4" t="s">
        <v>262</v>
      </c>
      <c r="N72" s="6">
        <v>0.32571759259258998</v>
      </c>
      <c r="O72" s="4" t="s">
        <v>386</v>
      </c>
      <c r="P72" s="3"/>
    </row>
    <row r="73" spans="3:16" x14ac:dyDescent="0.25">
      <c r="C73" s="3">
        <v>46308</v>
      </c>
      <c r="D73" s="4" t="s">
        <v>383</v>
      </c>
      <c r="E73" s="4" t="s">
        <v>270</v>
      </c>
      <c r="F73" s="4" t="s">
        <v>271</v>
      </c>
      <c r="G73" s="4" t="s">
        <v>7</v>
      </c>
      <c r="H73" s="4" t="s">
        <v>81</v>
      </c>
      <c r="I73" s="4" t="s">
        <v>272</v>
      </c>
      <c r="J73" s="4" t="s">
        <v>391</v>
      </c>
      <c r="K73" s="4" t="s">
        <v>451</v>
      </c>
      <c r="L73" s="5">
        <v>4704</v>
      </c>
      <c r="M73" s="4" t="s">
        <v>273</v>
      </c>
      <c r="N73" s="6">
        <v>0.32636574074073998</v>
      </c>
      <c r="O73" s="4" t="s">
        <v>386</v>
      </c>
      <c r="P73" s="3"/>
    </row>
    <row r="74" spans="3:16" x14ac:dyDescent="0.25">
      <c r="C74" s="3">
        <v>46308</v>
      </c>
      <c r="D74" s="4" t="s">
        <v>383</v>
      </c>
      <c r="E74" s="4" t="s">
        <v>270</v>
      </c>
      <c r="F74" s="4" t="s">
        <v>271</v>
      </c>
      <c r="G74" s="4" t="s">
        <v>7</v>
      </c>
      <c r="H74" s="4" t="s">
        <v>81</v>
      </c>
      <c r="I74" s="4" t="s">
        <v>274</v>
      </c>
      <c r="J74" s="4" t="s">
        <v>391</v>
      </c>
      <c r="K74" s="4" t="s">
        <v>452</v>
      </c>
      <c r="L74" s="5">
        <v>3360</v>
      </c>
      <c r="M74" s="4" t="s">
        <v>273</v>
      </c>
      <c r="N74" s="6">
        <v>0.32752314814814998</v>
      </c>
      <c r="O74" s="4" t="s">
        <v>386</v>
      </c>
      <c r="P74" s="3"/>
    </row>
    <row r="75" spans="3:16" x14ac:dyDescent="0.25">
      <c r="C75" s="3">
        <v>46308</v>
      </c>
      <c r="D75" s="4" t="s">
        <v>383</v>
      </c>
      <c r="E75" s="4" t="s">
        <v>121</v>
      </c>
      <c r="F75" s="4" t="s">
        <v>122</v>
      </c>
      <c r="G75" s="4" t="s">
        <v>7</v>
      </c>
      <c r="H75" s="4" t="s">
        <v>17</v>
      </c>
      <c r="I75" s="4" t="s">
        <v>123</v>
      </c>
      <c r="J75" s="4" t="s">
        <v>447</v>
      </c>
      <c r="K75" s="4" t="s">
        <v>453</v>
      </c>
      <c r="L75" s="5">
        <v>6000</v>
      </c>
      <c r="M75" s="4" t="s">
        <v>124</v>
      </c>
      <c r="N75" s="6">
        <v>0.42253472222221999</v>
      </c>
      <c r="O75" s="4" t="s">
        <v>386</v>
      </c>
      <c r="P75" s="3"/>
    </row>
    <row r="76" spans="3:16" x14ac:dyDescent="0.25">
      <c r="C76" s="3">
        <v>46308</v>
      </c>
      <c r="D76" s="4" t="s">
        <v>383</v>
      </c>
      <c r="E76" s="4" t="s">
        <v>86</v>
      </c>
      <c r="F76" s="4" t="s">
        <v>87</v>
      </c>
      <c r="G76" s="4" t="s">
        <v>7</v>
      </c>
      <c r="H76" s="4" t="s">
        <v>17</v>
      </c>
      <c r="I76" s="4" t="s">
        <v>88</v>
      </c>
      <c r="J76" s="4" t="s">
        <v>384</v>
      </c>
      <c r="K76" s="4" t="s">
        <v>453</v>
      </c>
      <c r="L76" s="5">
        <v>6000</v>
      </c>
      <c r="M76" s="4" t="s">
        <v>89</v>
      </c>
      <c r="N76" s="6">
        <v>0.42253472222221999</v>
      </c>
      <c r="O76" s="4" t="s">
        <v>386</v>
      </c>
      <c r="P76" s="3"/>
    </row>
    <row r="77" spans="3:16" x14ac:dyDescent="0.25">
      <c r="C77" s="3">
        <v>46308</v>
      </c>
      <c r="D77" s="4" t="s">
        <v>383</v>
      </c>
      <c r="E77" s="4" t="s">
        <v>221</v>
      </c>
      <c r="F77" s="4" t="s">
        <v>222</v>
      </c>
      <c r="G77" s="4" t="s">
        <v>7</v>
      </c>
      <c r="H77" s="4" t="s">
        <v>8</v>
      </c>
      <c r="I77" s="4" t="s">
        <v>226</v>
      </c>
      <c r="J77" s="4" t="s">
        <v>454</v>
      </c>
      <c r="K77" s="4" t="s">
        <v>455</v>
      </c>
      <c r="L77" s="5">
        <v>3750</v>
      </c>
      <c r="M77" s="4" t="s">
        <v>227</v>
      </c>
      <c r="N77" s="6">
        <v>0.34357638888889003</v>
      </c>
      <c r="O77" s="4" t="s">
        <v>386</v>
      </c>
      <c r="P77" s="3"/>
    </row>
    <row r="78" spans="3:16" x14ac:dyDescent="0.25">
      <c r="C78" s="3">
        <v>46308</v>
      </c>
      <c r="D78" s="4" t="s">
        <v>383</v>
      </c>
      <c r="E78" s="4" t="s">
        <v>14</v>
      </c>
      <c r="F78" s="4" t="s">
        <v>15</v>
      </c>
      <c r="G78" s="4" t="s">
        <v>7</v>
      </c>
      <c r="H78" s="4" t="s">
        <v>17</v>
      </c>
      <c r="I78" s="4" t="s">
        <v>16</v>
      </c>
      <c r="J78" s="4" t="s">
        <v>447</v>
      </c>
      <c r="K78" s="4" t="s">
        <v>453</v>
      </c>
      <c r="L78" s="5">
        <v>10000</v>
      </c>
      <c r="M78" s="4" t="s">
        <v>18</v>
      </c>
      <c r="N78" s="6">
        <v>0.42253472222221999</v>
      </c>
      <c r="O78" s="4" t="s">
        <v>386</v>
      </c>
      <c r="P78" s="3"/>
    </row>
    <row r="79" spans="3:16" x14ac:dyDescent="0.25">
      <c r="C79" s="3">
        <v>46308</v>
      </c>
      <c r="D79" s="4" t="s">
        <v>383</v>
      </c>
      <c r="E79" s="4" t="s">
        <v>253</v>
      </c>
      <c r="F79" s="4" t="s">
        <v>254</v>
      </c>
      <c r="G79" s="4" t="s">
        <v>7</v>
      </c>
      <c r="H79" s="4" t="s">
        <v>8</v>
      </c>
      <c r="I79" s="4" t="s">
        <v>255</v>
      </c>
      <c r="J79" s="4" t="s">
        <v>384</v>
      </c>
      <c r="K79" s="4" t="s">
        <v>456</v>
      </c>
      <c r="L79" s="5">
        <v>3780</v>
      </c>
      <c r="M79" s="4" t="s">
        <v>256</v>
      </c>
      <c r="N79" s="6">
        <v>0.34319444444444003</v>
      </c>
      <c r="O79" s="4" t="s">
        <v>386</v>
      </c>
      <c r="P79" s="3"/>
    </row>
    <row r="80" spans="3:16" x14ac:dyDescent="0.25">
      <c r="C80" s="3">
        <v>46308</v>
      </c>
      <c r="D80" s="4" t="s">
        <v>383</v>
      </c>
      <c r="E80" s="4" t="s">
        <v>100</v>
      </c>
      <c r="F80" s="4" t="s">
        <v>101</v>
      </c>
      <c r="G80" s="4" t="s">
        <v>7</v>
      </c>
      <c r="H80" s="4" t="s">
        <v>17</v>
      </c>
      <c r="I80" s="4" t="s">
        <v>102</v>
      </c>
      <c r="J80" s="4" t="s">
        <v>384</v>
      </c>
      <c r="K80" s="4" t="s">
        <v>448</v>
      </c>
      <c r="L80" s="5">
        <v>15600</v>
      </c>
      <c r="M80" s="4" t="s">
        <v>103</v>
      </c>
      <c r="N80" s="6">
        <v>0.41989583333333003</v>
      </c>
      <c r="O80" s="4" t="s">
        <v>386</v>
      </c>
      <c r="P80" s="3"/>
    </row>
    <row r="81" spans="3:16" x14ac:dyDescent="0.25">
      <c r="C81" s="3">
        <v>46308</v>
      </c>
      <c r="D81" s="4" t="s">
        <v>383</v>
      </c>
      <c r="E81" s="4" t="s">
        <v>69</v>
      </c>
      <c r="F81" s="4" t="s">
        <v>70</v>
      </c>
      <c r="G81" s="4" t="s">
        <v>7</v>
      </c>
      <c r="H81" s="4" t="s">
        <v>17</v>
      </c>
      <c r="I81" s="4" t="s">
        <v>71</v>
      </c>
      <c r="J81" s="4" t="s">
        <v>384</v>
      </c>
      <c r="K81" s="4" t="s">
        <v>457</v>
      </c>
      <c r="L81" s="5">
        <v>6200</v>
      </c>
      <c r="M81" s="4" t="s">
        <v>72</v>
      </c>
      <c r="N81" s="6">
        <v>0.42084490740740998</v>
      </c>
      <c r="O81" s="4" t="s">
        <v>386</v>
      </c>
      <c r="P81" s="3"/>
    </row>
    <row r="82" spans="3:16" x14ac:dyDescent="0.25">
      <c r="C82" s="3">
        <v>46308</v>
      </c>
      <c r="D82" s="4" t="s">
        <v>383</v>
      </c>
      <c r="E82" s="4" t="s">
        <v>228</v>
      </c>
      <c r="F82" s="4" t="s">
        <v>229</v>
      </c>
      <c r="G82" s="4" t="s">
        <v>7</v>
      </c>
      <c r="H82" s="4" t="s">
        <v>17</v>
      </c>
      <c r="I82" s="4" t="s">
        <v>232</v>
      </c>
      <c r="J82" s="4" t="s">
        <v>384</v>
      </c>
      <c r="K82" s="4" t="s">
        <v>448</v>
      </c>
      <c r="L82" s="5">
        <v>47000</v>
      </c>
      <c r="M82" s="4" t="s">
        <v>233</v>
      </c>
      <c r="N82" s="6">
        <v>0.41989583333333003</v>
      </c>
      <c r="O82" s="4" t="s">
        <v>386</v>
      </c>
      <c r="P82" s="3"/>
    </row>
    <row r="83" spans="3:16" x14ac:dyDescent="0.25">
      <c r="C83" s="3">
        <v>46308</v>
      </c>
      <c r="D83" s="4" t="s">
        <v>383</v>
      </c>
      <c r="E83" s="4" t="s">
        <v>228</v>
      </c>
      <c r="F83" s="4" t="s">
        <v>229</v>
      </c>
      <c r="G83" s="4" t="s">
        <v>7</v>
      </c>
      <c r="H83" s="4" t="s">
        <v>17</v>
      </c>
      <c r="I83" s="4" t="s">
        <v>230</v>
      </c>
      <c r="J83" s="4" t="s">
        <v>384</v>
      </c>
      <c r="K83" s="4" t="s">
        <v>457</v>
      </c>
      <c r="L83" s="5">
        <v>15000</v>
      </c>
      <c r="M83" s="4" t="s">
        <v>231</v>
      </c>
      <c r="N83" s="6">
        <v>0.42083333333333001</v>
      </c>
      <c r="O83" s="4" t="s">
        <v>386</v>
      </c>
      <c r="P83" s="3"/>
    </row>
    <row r="84" spans="3:16" x14ac:dyDescent="0.25">
      <c r="C84" s="3">
        <v>46308</v>
      </c>
      <c r="D84" s="4" t="s">
        <v>383</v>
      </c>
      <c r="E84" s="4" t="s">
        <v>215</v>
      </c>
      <c r="F84" s="4" t="s">
        <v>216</v>
      </c>
      <c r="G84" s="4" t="s">
        <v>7</v>
      </c>
      <c r="H84" s="4" t="s">
        <v>17</v>
      </c>
      <c r="I84" s="4" t="s">
        <v>219</v>
      </c>
      <c r="J84" s="4" t="s">
        <v>384</v>
      </c>
      <c r="K84" s="4" t="s">
        <v>448</v>
      </c>
      <c r="L84" s="5">
        <v>37000</v>
      </c>
      <c r="M84" s="4" t="s">
        <v>220</v>
      </c>
      <c r="N84" s="6">
        <v>0.41989583333333003</v>
      </c>
      <c r="O84" s="4" t="s">
        <v>386</v>
      </c>
      <c r="P84" s="3"/>
    </row>
    <row r="85" spans="3:16" x14ac:dyDescent="0.25">
      <c r="C85" s="3">
        <v>46308</v>
      </c>
      <c r="D85" s="4" t="s">
        <v>383</v>
      </c>
      <c r="E85" s="4" t="s">
        <v>239</v>
      </c>
      <c r="F85" s="4" t="s">
        <v>240</v>
      </c>
      <c r="G85" s="4" t="s">
        <v>7</v>
      </c>
      <c r="H85" s="4" t="s">
        <v>242</v>
      </c>
      <c r="I85" s="4" t="s">
        <v>241</v>
      </c>
      <c r="J85" s="4" t="s">
        <v>384</v>
      </c>
      <c r="K85" s="4" t="s">
        <v>458</v>
      </c>
      <c r="L85" s="5">
        <v>880</v>
      </c>
      <c r="M85" s="4" t="s">
        <v>243</v>
      </c>
      <c r="N85" s="6">
        <v>0.36179398148148001</v>
      </c>
      <c r="O85" s="4" t="s">
        <v>386</v>
      </c>
      <c r="P85" s="3"/>
    </row>
    <row r="86" spans="3:16" x14ac:dyDescent="0.25">
      <c r="C86" s="3">
        <v>46308</v>
      </c>
      <c r="D86" s="4" t="s">
        <v>389</v>
      </c>
      <c r="E86" s="4" t="s">
        <v>1</v>
      </c>
      <c r="F86" s="4" t="s">
        <v>3</v>
      </c>
      <c r="G86" s="4" t="s">
        <v>7</v>
      </c>
      <c r="H86" s="4" t="s">
        <v>8</v>
      </c>
      <c r="I86" s="4" t="s">
        <v>5</v>
      </c>
      <c r="J86" s="4" t="s">
        <v>384</v>
      </c>
      <c r="K86" s="4" t="s">
        <v>459</v>
      </c>
      <c r="L86" s="5">
        <v>10185</v>
      </c>
      <c r="M86" s="4" t="s">
        <v>9</v>
      </c>
      <c r="N86" s="6">
        <v>0.67334490740741004</v>
      </c>
      <c r="O86" s="4" t="s">
        <v>386</v>
      </c>
      <c r="P86" s="3"/>
    </row>
    <row r="87" spans="3:16" x14ac:dyDescent="0.25">
      <c r="C87" s="3">
        <v>46308</v>
      </c>
      <c r="D87" s="4" t="s">
        <v>383</v>
      </c>
      <c r="E87" s="4" t="s">
        <v>137</v>
      </c>
      <c r="F87" s="4" t="s">
        <v>138</v>
      </c>
      <c r="G87" s="4" t="s">
        <v>7</v>
      </c>
      <c r="H87" s="4" t="s">
        <v>81</v>
      </c>
      <c r="I87" s="4" t="s">
        <v>141</v>
      </c>
      <c r="J87" s="4" t="s">
        <v>391</v>
      </c>
      <c r="K87" s="4" t="s">
        <v>460</v>
      </c>
      <c r="L87" s="5">
        <v>3200</v>
      </c>
      <c r="M87" s="4" t="s">
        <v>142</v>
      </c>
      <c r="N87" s="6">
        <v>0.32861111111111002</v>
      </c>
      <c r="O87" s="4" t="s">
        <v>386</v>
      </c>
      <c r="P87" s="3"/>
    </row>
    <row r="88" spans="3:16" x14ac:dyDescent="0.25">
      <c r="C88" s="3">
        <v>46308</v>
      </c>
      <c r="D88" s="4" t="s">
        <v>383</v>
      </c>
      <c r="E88" s="4" t="s">
        <v>203</v>
      </c>
      <c r="F88" s="4" t="s">
        <v>204</v>
      </c>
      <c r="G88" s="4" t="s">
        <v>7</v>
      </c>
      <c r="H88" s="4" t="s">
        <v>81</v>
      </c>
      <c r="I88" s="4" t="s">
        <v>207</v>
      </c>
      <c r="J88" s="4" t="s">
        <v>391</v>
      </c>
      <c r="K88" s="4" t="s">
        <v>461</v>
      </c>
      <c r="L88" s="5">
        <v>3800</v>
      </c>
      <c r="M88" s="4" t="s">
        <v>206</v>
      </c>
      <c r="N88" s="6">
        <v>0.32275462962962997</v>
      </c>
      <c r="O88" s="4" t="s">
        <v>386</v>
      </c>
      <c r="P88" s="3"/>
    </row>
    <row r="89" spans="3:16" x14ac:dyDescent="0.25">
      <c r="C89" s="3">
        <v>46308</v>
      </c>
      <c r="D89" s="4" t="s">
        <v>383</v>
      </c>
      <c r="E89" s="4" t="s">
        <v>203</v>
      </c>
      <c r="F89" s="4" t="s">
        <v>204</v>
      </c>
      <c r="G89" s="4" t="s">
        <v>7</v>
      </c>
      <c r="H89" s="4" t="s">
        <v>81</v>
      </c>
      <c r="I89" s="4" t="s">
        <v>205</v>
      </c>
      <c r="J89" s="4" t="s">
        <v>391</v>
      </c>
      <c r="K89" s="4" t="s">
        <v>462</v>
      </c>
      <c r="L89" s="5">
        <v>400</v>
      </c>
      <c r="M89" s="4" t="s">
        <v>206</v>
      </c>
      <c r="N89" s="6">
        <v>0.32718750000000002</v>
      </c>
      <c r="O89" s="4" t="s">
        <v>386</v>
      </c>
      <c r="P89" s="3"/>
    </row>
    <row r="90" spans="3:16" x14ac:dyDescent="0.25">
      <c r="C90" s="3">
        <v>46308</v>
      </c>
      <c r="D90" s="4" t="s">
        <v>383</v>
      </c>
      <c r="E90" s="4" t="s">
        <v>96</v>
      </c>
      <c r="F90" s="4" t="s">
        <v>97</v>
      </c>
      <c r="G90" s="4" t="s">
        <v>7</v>
      </c>
      <c r="H90" s="4" t="s">
        <v>81</v>
      </c>
      <c r="I90" s="4" t="s">
        <v>98</v>
      </c>
      <c r="J90" s="4" t="s">
        <v>391</v>
      </c>
      <c r="K90" s="4" t="s">
        <v>463</v>
      </c>
      <c r="L90" s="5">
        <v>5000</v>
      </c>
      <c r="M90" s="4" t="s">
        <v>99</v>
      </c>
      <c r="N90" s="6">
        <v>0.35929398148148001</v>
      </c>
      <c r="O90" s="4" t="s">
        <v>386</v>
      </c>
      <c r="P90" s="3"/>
    </row>
    <row r="91" spans="3:16" x14ac:dyDescent="0.25">
      <c r="C91" s="3">
        <v>46308</v>
      </c>
      <c r="D91" s="4" t="s">
        <v>383</v>
      </c>
      <c r="E91" s="4" t="s">
        <v>56</v>
      </c>
      <c r="F91" s="4" t="s">
        <v>57</v>
      </c>
      <c r="G91" s="4" t="s">
        <v>7</v>
      </c>
      <c r="H91" s="4" t="s">
        <v>17</v>
      </c>
      <c r="I91" s="4" t="s">
        <v>58</v>
      </c>
      <c r="J91" s="4" t="s">
        <v>384</v>
      </c>
      <c r="K91" s="4" t="s">
        <v>464</v>
      </c>
      <c r="L91" s="5">
        <v>2000</v>
      </c>
      <c r="M91" s="4" t="s">
        <v>59</v>
      </c>
      <c r="N91" s="6">
        <v>0.38248842592593002</v>
      </c>
      <c r="O91" s="4" t="s">
        <v>386</v>
      </c>
      <c r="P91" s="3"/>
    </row>
    <row r="92" spans="3:16" x14ac:dyDescent="0.25">
      <c r="C92" s="3">
        <v>46308</v>
      </c>
      <c r="D92" s="4" t="s">
        <v>383</v>
      </c>
      <c r="E92" s="4" t="s">
        <v>60</v>
      </c>
      <c r="F92" s="4" t="s">
        <v>61</v>
      </c>
      <c r="G92" s="4" t="s">
        <v>7</v>
      </c>
      <c r="H92" s="4" t="s">
        <v>17</v>
      </c>
      <c r="I92" s="4" t="s">
        <v>62</v>
      </c>
      <c r="J92" s="4" t="s">
        <v>384</v>
      </c>
      <c r="K92" s="4" t="s">
        <v>464</v>
      </c>
      <c r="L92" s="5">
        <v>2000</v>
      </c>
      <c r="M92" s="4" t="s">
        <v>63</v>
      </c>
      <c r="N92" s="6">
        <v>0.38248842592593002</v>
      </c>
      <c r="O92" s="4" t="s">
        <v>386</v>
      </c>
      <c r="P92" s="3"/>
    </row>
    <row r="93" spans="3:16" x14ac:dyDescent="0.25">
      <c r="C93" s="3">
        <v>46309</v>
      </c>
      <c r="D93" s="4" t="s">
        <v>383</v>
      </c>
      <c r="E93" s="4" t="s">
        <v>284</v>
      </c>
      <c r="F93" s="4" t="s">
        <v>285</v>
      </c>
      <c r="G93" s="4" t="s">
        <v>7</v>
      </c>
      <c r="H93" s="4" t="s">
        <v>174</v>
      </c>
      <c r="I93" s="4" t="s">
        <v>291</v>
      </c>
      <c r="J93" s="4" t="s">
        <v>391</v>
      </c>
      <c r="K93" s="4" t="s">
        <v>465</v>
      </c>
      <c r="L93" s="5">
        <v>8000</v>
      </c>
      <c r="M93" s="4" t="s">
        <v>292</v>
      </c>
      <c r="N93" s="6">
        <v>0.44013888888889002</v>
      </c>
      <c r="O93" s="4" t="s">
        <v>386</v>
      </c>
      <c r="P93" s="3"/>
    </row>
    <row r="94" spans="3:16" x14ac:dyDescent="0.25">
      <c r="C94" s="3">
        <v>46309</v>
      </c>
      <c r="D94" s="4" t="s">
        <v>383</v>
      </c>
      <c r="E94" s="4" t="s">
        <v>284</v>
      </c>
      <c r="F94" s="4" t="s">
        <v>285</v>
      </c>
      <c r="G94" s="4" t="s">
        <v>7</v>
      </c>
      <c r="H94" s="4" t="s">
        <v>174</v>
      </c>
      <c r="I94" s="4" t="s">
        <v>293</v>
      </c>
      <c r="J94" s="4" t="s">
        <v>391</v>
      </c>
      <c r="K94" s="4" t="s">
        <v>466</v>
      </c>
      <c r="L94" s="5">
        <v>3800</v>
      </c>
      <c r="M94" s="4" t="s">
        <v>294</v>
      </c>
      <c r="N94" s="6">
        <v>0.44113425925925998</v>
      </c>
      <c r="O94" s="4" t="s">
        <v>386</v>
      </c>
      <c r="P94" s="3"/>
    </row>
    <row r="95" spans="3:16" x14ac:dyDescent="0.25">
      <c r="C95" s="3">
        <v>46309</v>
      </c>
      <c r="D95" s="4" t="s">
        <v>383</v>
      </c>
      <c r="E95" s="4" t="s">
        <v>284</v>
      </c>
      <c r="F95" s="4" t="s">
        <v>285</v>
      </c>
      <c r="G95" s="4" t="s">
        <v>7</v>
      </c>
      <c r="H95" s="4" t="s">
        <v>174</v>
      </c>
      <c r="I95" s="4" t="s">
        <v>296</v>
      </c>
      <c r="J95" s="4" t="s">
        <v>391</v>
      </c>
      <c r="K95" s="4" t="s">
        <v>467</v>
      </c>
      <c r="L95" s="5">
        <v>6000</v>
      </c>
      <c r="M95" s="4" t="s">
        <v>292</v>
      </c>
      <c r="N95" s="6">
        <v>0.50155092592592998</v>
      </c>
      <c r="O95" s="4" t="s">
        <v>386</v>
      </c>
      <c r="P95" s="3"/>
    </row>
    <row r="96" spans="3:16" x14ac:dyDescent="0.25">
      <c r="C96" s="3">
        <v>46309</v>
      </c>
      <c r="D96" s="4" t="s">
        <v>383</v>
      </c>
      <c r="E96" s="4" t="s">
        <v>208</v>
      </c>
      <c r="F96" s="4" t="s">
        <v>209</v>
      </c>
      <c r="G96" s="4" t="s">
        <v>7</v>
      </c>
      <c r="H96" s="4" t="s">
        <v>174</v>
      </c>
      <c r="I96" s="4" t="s">
        <v>212</v>
      </c>
      <c r="J96" s="4" t="s">
        <v>391</v>
      </c>
      <c r="K96" s="4" t="s">
        <v>465</v>
      </c>
      <c r="L96" s="5">
        <v>2160</v>
      </c>
      <c r="M96" s="4" t="s">
        <v>211</v>
      </c>
      <c r="N96" s="6">
        <v>0.44013888888889002</v>
      </c>
      <c r="O96" s="4" t="s">
        <v>386</v>
      </c>
      <c r="P96" s="3"/>
    </row>
    <row r="97" spans="3:16" x14ac:dyDescent="0.25">
      <c r="C97" s="3">
        <v>46309</v>
      </c>
      <c r="D97" s="4" t="s">
        <v>383</v>
      </c>
      <c r="E97" s="4" t="s">
        <v>208</v>
      </c>
      <c r="F97" s="4" t="s">
        <v>209</v>
      </c>
      <c r="G97" s="4" t="s">
        <v>7</v>
      </c>
      <c r="H97" s="4" t="s">
        <v>174</v>
      </c>
      <c r="I97" s="4" t="s">
        <v>210</v>
      </c>
      <c r="J97" s="4" t="s">
        <v>391</v>
      </c>
      <c r="K97" s="4" t="s">
        <v>468</v>
      </c>
      <c r="L97" s="5">
        <v>5760</v>
      </c>
      <c r="M97" s="4" t="s">
        <v>211</v>
      </c>
      <c r="N97" s="6">
        <v>0.44251157407406999</v>
      </c>
      <c r="O97" s="4" t="s">
        <v>386</v>
      </c>
      <c r="P97" s="3"/>
    </row>
    <row r="98" spans="3:16" x14ac:dyDescent="0.25">
      <c r="C98" s="3">
        <v>46309</v>
      </c>
      <c r="D98" s="4" t="s">
        <v>383</v>
      </c>
      <c r="E98" s="4" t="s">
        <v>259</v>
      </c>
      <c r="F98" s="4" t="s">
        <v>260</v>
      </c>
      <c r="G98" s="4" t="s">
        <v>7</v>
      </c>
      <c r="H98" s="4" t="s">
        <v>81</v>
      </c>
      <c r="I98" s="4" t="s">
        <v>263</v>
      </c>
      <c r="J98" s="4" t="s">
        <v>391</v>
      </c>
      <c r="K98" s="4" t="s">
        <v>469</v>
      </c>
      <c r="L98" s="5">
        <v>5184</v>
      </c>
      <c r="M98" s="4" t="s">
        <v>262</v>
      </c>
      <c r="N98" s="6">
        <v>0.33031250000000001</v>
      </c>
      <c r="O98" s="4" t="s">
        <v>386</v>
      </c>
      <c r="P98" s="3"/>
    </row>
    <row r="99" spans="3:16" x14ac:dyDescent="0.25">
      <c r="C99" s="3">
        <v>46309</v>
      </c>
      <c r="D99" s="4" t="s">
        <v>383</v>
      </c>
      <c r="E99" s="4" t="s">
        <v>221</v>
      </c>
      <c r="F99" s="4" t="s">
        <v>222</v>
      </c>
      <c r="G99" s="4" t="s">
        <v>7</v>
      </c>
      <c r="H99" s="4" t="s">
        <v>8</v>
      </c>
      <c r="I99" s="4" t="s">
        <v>225</v>
      </c>
      <c r="J99" s="4" t="s">
        <v>454</v>
      </c>
      <c r="K99" s="4" t="s">
        <v>470</v>
      </c>
      <c r="L99" s="5">
        <v>3780</v>
      </c>
      <c r="M99" s="4" t="s">
        <v>224</v>
      </c>
      <c r="N99" s="6">
        <v>0.39660879629630003</v>
      </c>
      <c r="O99" s="4" t="s">
        <v>386</v>
      </c>
      <c r="P99" s="3"/>
    </row>
    <row r="100" spans="3:16" x14ac:dyDescent="0.25">
      <c r="C100" s="3">
        <v>46309</v>
      </c>
      <c r="D100" s="4" t="s">
        <v>383</v>
      </c>
      <c r="E100" s="4" t="s">
        <v>221</v>
      </c>
      <c r="F100" s="4" t="s">
        <v>222</v>
      </c>
      <c r="G100" s="4" t="s">
        <v>7</v>
      </c>
      <c r="H100" s="4" t="s">
        <v>8</v>
      </c>
      <c r="I100" s="4" t="s">
        <v>223</v>
      </c>
      <c r="J100" s="4" t="s">
        <v>454</v>
      </c>
      <c r="K100" s="4" t="s">
        <v>471</v>
      </c>
      <c r="L100" s="5">
        <v>3780</v>
      </c>
      <c r="M100" s="4" t="s">
        <v>224</v>
      </c>
      <c r="N100" s="6">
        <v>0.39696759259259001</v>
      </c>
      <c r="O100" s="4" t="s">
        <v>386</v>
      </c>
      <c r="P100" s="3"/>
    </row>
    <row r="101" spans="3:16" x14ac:dyDescent="0.25">
      <c r="C101" s="3">
        <v>46309</v>
      </c>
      <c r="D101" s="4" t="s">
        <v>383</v>
      </c>
      <c r="E101" s="4" t="s">
        <v>249</v>
      </c>
      <c r="F101" s="4" t="s">
        <v>250</v>
      </c>
      <c r="G101" s="4" t="s">
        <v>7</v>
      </c>
      <c r="H101" s="4" t="s">
        <v>8</v>
      </c>
      <c r="I101" s="4" t="s">
        <v>251</v>
      </c>
      <c r="J101" s="4" t="s">
        <v>384</v>
      </c>
      <c r="K101" s="4" t="s">
        <v>472</v>
      </c>
      <c r="L101" s="5">
        <v>3780</v>
      </c>
      <c r="M101" s="4" t="s">
        <v>252</v>
      </c>
      <c r="N101" s="6">
        <v>0.34827546296296003</v>
      </c>
      <c r="O101" s="4" t="s">
        <v>386</v>
      </c>
      <c r="P101" s="3"/>
    </row>
    <row r="102" spans="3:16" x14ac:dyDescent="0.25">
      <c r="C102" s="3">
        <v>46309</v>
      </c>
      <c r="D102" s="4" t="s">
        <v>383</v>
      </c>
      <c r="E102" s="4" t="s">
        <v>330</v>
      </c>
      <c r="F102" s="4" t="s">
        <v>331</v>
      </c>
      <c r="G102" s="4" t="s">
        <v>7</v>
      </c>
      <c r="H102" s="4" t="s">
        <v>76</v>
      </c>
      <c r="I102" s="4" t="s">
        <v>334</v>
      </c>
      <c r="J102" s="4" t="s">
        <v>384</v>
      </c>
      <c r="K102" s="4" t="s">
        <v>473</v>
      </c>
      <c r="L102" s="5">
        <v>11000</v>
      </c>
      <c r="M102" s="4" t="s">
        <v>335</v>
      </c>
      <c r="N102" s="6">
        <v>0.58755787037036999</v>
      </c>
      <c r="O102" s="4" t="s">
        <v>386</v>
      </c>
      <c r="P102" s="3"/>
    </row>
    <row r="103" spans="3:16" x14ac:dyDescent="0.25">
      <c r="C103" s="3">
        <v>46309</v>
      </c>
      <c r="D103" s="4" t="s">
        <v>383</v>
      </c>
      <c r="E103" s="4" t="s">
        <v>104</v>
      </c>
      <c r="F103" s="4" t="s">
        <v>105</v>
      </c>
      <c r="G103" s="4" t="s">
        <v>7</v>
      </c>
      <c r="H103" s="4" t="s">
        <v>107</v>
      </c>
      <c r="I103" s="4" t="s">
        <v>106</v>
      </c>
      <c r="J103" s="4" t="s">
        <v>391</v>
      </c>
      <c r="K103" s="4" t="s">
        <v>474</v>
      </c>
      <c r="L103" s="5">
        <v>756</v>
      </c>
      <c r="M103" s="4" t="s">
        <v>108</v>
      </c>
      <c r="N103" s="6">
        <v>0.35483796296296</v>
      </c>
      <c r="O103" s="4" t="s">
        <v>386</v>
      </c>
      <c r="P103" s="3"/>
    </row>
    <row r="104" spans="3:16" x14ac:dyDescent="0.25">
      <c r="C104" s="3">
        <v>46309</v>
      </c>
      <c r="D104" s="4" t="s">
        <v>383</v>
      </c>
      <c r="E104" s="4" t="s">
        <v>234</v>
      </c>
      <c r="F104" s="4" t="s">
        <v>235</v>
      </c>
      <c r="G104" s="4" t="s">
        <v>7</v>
      </c>
      <c r="H104" s="4" t="s">
        <v>81</v>
      </c>
      <c r="I104" s="4" t="s">
        <v>236</v>
      </c>
      <c r="J104" s="4" t="s">
        <v>391</v>
      </c>
      <c r="K104" s="4" t="s">
        <v>475</v>
      </c>
      <c r="L104" s="5">
        <v>8000</v>
      </c>
      <c r="M104" s="4" t="s">
        <v>237</v>
      </c>
      <c r="N104" s="6">
        <v>0.39409722222221999</v>
      </c>
      <c r="O104" s="4" t="s">
        <v>386</v>
      </c>
      <c r="P104" s="3"/>
    </row>
    <row r="105" spans="3:16" x14ac:dyDescent="0.25">
      <c r="C105" s="3">
        <v>46309</v>
      </c>
      <c r="D105" s="4" t="s">
        <v>383</v>
      </c>
      <c r="E105" s="4" t="s">
        <v>137</v>
      </c>
      <c r="F105" s="4" t="s">
        <v>138</v>
      </c>
      <c r="G105" s="4" t="s">
        <v>7</v>
      </c>
      <c r="H105" s="4" t="s">
        <v>81</v>
      </c>
      <c r="I105" s="4" t="s">
        <v>139</v>
      </c>
      <c r="J105" s="4" t="s">
        <v>391</v>
      </c>
      <c r="K105" s="4" t="s">
        <v>476</v>
      </c>
      <c r="L105" s="5">
        <v>3200</v>
      </c>
      <c r="M105" s="4" t="s">
        <v>140</v>
      </c>
      <c r="N105" s="6">
        <v>0.39461805555556001</v>
      </c>
      <c r="O105" s="4" t="s">
        <v>386</v>
      </c>
      <c r="P105" s="3"/>
    </row>
    <row r="106" spans="3:16" x14ac:dyDescent="0.25">
      <c r="C106" s="3">
        <v>46309</v>
      </c>
      <c r="D106" s="4" t="s">
        <v>383</v>
      </c>
      <c r="E106" s="4" t="s">
        <v>244</v>
      </c>
      <c r="F106" s="4" t="s">
        <v>245</v>
      </c>
      <c r="G106" s="4" t="s">
        <v>7</v>
      </c>
      <c r="H106" s="4" t="s">
        <v>174</v>
      </c>
      <c r="I106" s="4" t="s">
        <v>246</v>
      </c>
      <c r="J106" s="4" t="s">
        <v>391</v>
      </c>
      <c r="K106" s="4" t="s">
        <v>465</v>
      </c>
      <c r="L106" s="5">
        <v>5760</v>
      </c>
      <c r="M106" s="4" t="s">
        <v>247</v>
      </c>
      <c r="N106" s="6">
        <v>0.44013888888889002</v>
      </c>
      <c r="O106" s="4" t="s">
        <v>386</v>
      </c>
      <c r="P106" s="3"/>
    </row>
    <row r="107" spans="3:16" x14ac:dyDescent="0.25">
      <c r="C107" s="3">
        <v>46309</v>
      </c>
      <c r="D107" s="4" t="s">
        <v>383</v>
      </c>
      <c r="E107" s="4" t="s">
        <v>244</v>
      </c>
      <c r="F107" s="4" t="s">
        <v>245</v>
      </c>
      <c r="G107" s="4" t="s">
        <v>7</v>
      </c>
      <c r="H107" s="4" t="s">
        <v>174</v>
      </c>
      <c r="I107" s="4" t="s">
        <v>248</v>
      </c>
      <c r="J107" s="4" t="s">
        <v>391</v>
      </c>
      <c r="K107" s="4" t="s">
        <v>468</v>
      </c>
      <c r="L107" s="5">
        <v>7380</v>
      </c>
      <c r="M107" s="4" t="s">
        <v>247</v>
      </c>
      <c r="N107" s="6">
        <v>0.44251157407406999</v>
      </c>
      <c r="O107" s="4" t="s">
        <v>386</v>
      </c>
      <c r="P107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SINALIZADOR</vt:lpstr>
      <vt:lpstr>SINALIZADOR CRITICO</vt:lpstr>
      <vt:lpstr>QA32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OLIVEIRA Pedro Filipe de</cp:lastModifiedBy>
  <cp:revision>1</cp:revision>
  <dcterms:modified xsi:type="dcterms:W3CDTF">2026-10-16T15:06:50Z</dcterms:modified>
  <cp:category/>
</cp:coreProperties>
</file>